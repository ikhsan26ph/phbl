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30" windowHeight="7500"/>
  </bookViews>
  <sheets>
    <sheet name="Template Jadwal PH BID" sheetId="1" r:id="rId1"/>
    <sheet name="Sheet13" sheetId="2" state="hidden" r:id="rId2"/>
    <sheet name="Sheet18" sheetId="3" state="hidden" r:id="rId3"/>
    <sheet name="Sheet19" sheetId="4" state="hidden" r:id="rId4"/>
    <sheet name="Sheet15" sheetId="5" state="hidden" r:id="rId5"/>
    <sheet name="KPI" sheetId="6" state="hidden" r:id="rId6"/>
    <sheet name="PIVOT" sheetId="7" state="hidden" r:id="rId7"/>
    <sheet name="CHART" sheetId="8" state="hidden" r:id="rId8"/>
    <sheet name="Annwijzing TCI" sheetId="9" state="hidden" r:id="rId9"/>
    <sheet name="LinkedIn" sheetId="10" state="hidden" r:id="rId10"/>
    <sheet name="Penelitian" sheetId="11" state="hidden" r:id="rId11"/>
  </sheets>
  <definedNames>
    <definedName name="_xlnm._FilterDatabase" localSheetId="5" hidden="1">KPI!$A$1:$AM$224</definedName>
    <definedName name="RentangBernama1">#REF!</definedName>
    <definedName name="RentangBernama2">#REF!</definedName>
    <definedName name="Z_9FD18252_A6D4_4CAB_A753_CDD4651AFAE3_.wvu.FilterData" localSheetId="5" hidden="1">KPI!$AK$1:$AK$224</definedName>
  </definedNames>
  <calcPr calcId="144525"/>
  <customWorkbookViews>
    <customWorkbookView name="Filter 1" guid="{9FD18252-A6D4-4CAB-A753-CDD4651AFAE3}" maximized="1" windowWidth="0" windowHeight="0" activeSheetId="0"/>
  </customWorkbookViews>
</workbook>
</file>

<file path=xl/sharedStrings.xml><?xml version="1.0" encoding="utf-8"?>
<sst xmlns="http://schemas.openxmlformats.org/spreadsheetml/2006/main" count="957" uniqueCount="449">
  <si>
    <t>Kapal</t>
  </si>
  <si>
    <t>Voyage</t>
  </si>
  <si>
    <t>Closing Time</t>
  </si>
  <si>
    <t>Berangkat (ETD)</t>
  </si>
  <si>
    <t>Tiba (ETA)</t>
  </si>
  <si>
    <t>KM. SUNGAI MAS EXPRESS</t>
  </si>
  <si>
    <t>SME201N</t>
  </si>
  <si>
    <t>21/09/2021 09:00</t>
  </si>
  <si>
    <t>select A,B,C,D,G,H,I,J,K,L,M,N,O,P,Q,R,S WHERE (C= 'PT Satoria Aneka Industri')</t>
  </si>
  <si>
    <t>Period</t>
  </si>
  <si>
    <t>Customer</t>
  </si>
  <si>
    <t>PT Satoria Aneka Industri</t>
  </si>
  <si>
    <t>Print date:</t>
  </si>
  <si>
    <t>select A,B,C,D,E,F,G,H,I,J,K,L,M,N,O,P,Q,R,S,T,U,V,W,X,Y,Z WHERE (D= 'PT Satoria Aneka Industri')</t>
  </si>
  <si>
    <t>STUFFING</t>
  </si>
  <si>
    <t>DOORING</t>
  </si>
  <si>
    <t>Kedisiplinan</t>
  </si>
  <si>
    <t>SHIPPER</t>
  </si>
  <si>
    <t>TOTAL ORDERAN SATORIA</t>
  </si>
  <si>
    <t>PARTNER</t>
  </si>
  <si>
    <t>RUTE</t>
  </si>
  <si>
    <t>MUATAN BARANG</t>
  </si>
  <si>
    <t>NO LELANG</t>
  </si>
  <si>
    <t>PT Mitra Intertrans Forwarding</t>
  </si>
  <si>
    <t>PT SINAR BARU LOGISTIK</t>
  </si>
  <si>
    <t xml:space="preserve">PT SINAR INTAN JAYA </t>
  </si>
  <si>
    <t>PT. Anugerah Trans Maritim</t>
  </si>
  <si>
    <t>PT. BINA BARU MALANTI</t>
  </si>
  <si>
    <t>PT. WINARTA PUTRA SEJATI</t>
  </si>
  <si>
    <t>Grand Total</t>
  </si>
  <si>
    <t/>
  </si>
  <si>
    <t>TANJUNG PERAK-BADAS</t>
  </si>
  <si>
    <t>Makanan</t>
  </si>
  <si>
    <t>SAG/2021/0011</t>
  </si>
  <si>
    <t>CATATAN</t>
  </si>
  <si>
    <t>JUMLAH UNDANGAN</t>
  </si>
  <si>
    <t>JUMLAH PENAWARAN</t>
  </si>
  <si>
    <t>HARGA PEMENANG</t>
  </si>
  <si>
    <t>HARGA TERENDAH</t>
  </si>
  <si>
    <t>HARGA TERTINGGI</t>
  </si>
  <si>
    <t>TANJUNG PERAK-BANJARMASIN</t>
  </si>
  <si>
    <t>SAG/2021/006</t>
  </si>
  <si>
    <t>LELANG DIBATALKAN</t>
  </si>
  <si>
    <t>Tanjung Perak-Belawan</t>
  </si>
  <si>
    <t>SAN/2021/0010</t>
  </si>
  <si>
    <t>SAG/2021/007</t>
  </si>
  <si>
    <t xml:space="preserve">Tanjung Perak-Bima </t>
  </si>
  <si>
    <t>SAG/2021/0010</t>
  </si>
  <si>
    <t>Farmasi</t>
  </si>
  <si>
    <t>SAN/2021/0009</t>
  </si>
  <si>
    <t>Tanjung Perak-Bitung</t>
  </si>
  <si>
    <t>SAN/2021/0022</t>
  </si>
  <si>
    <t>SAN/2021/0016</t>
  </si>
  <si>
    <t>TERMURAH</t>
  </si>
  <si>
    <t>Tanjung Perak-Banjarmasin</t>
  </si>
  <si>
    <t>SAN/2021/0058</t>
  </si>
  <si>
    <t xml:space="preserve">Tanjung Perak-Banjarmasin </t>
  </si>
  <si>
    <t>TANJUNG PERAK-BAU BAU</t>
  </si>
  <si>
    <t>Obat</t>
  </si>
  <si>
    <t>SAN/2021/0037</t>
  </si>
  <si>
    <t>SAN/2021/0001</t>
  </si>
  <si>
    <t>SAG/2021/0015</t>
  </si>
  <si>
    <t>SAN/2021/0012</t>
  </si>
  <si>
    <t>Infus</t>
  </si>
  <si>
    <t>SAN/2021/0052</t>
  </si>
  <si>
    <t>SAN/2021/0025</t>
  </si>
  <si>
    <t>TANJUNG PERAK-BELAWAN</t>
  </si>
  <si>
    <t>SAN/2021/0038</t>
  </si>
  <si>
    <t xml:space="preserve">Tanjung Perak-Belawan </t>
  </si>
  <si>
    <t>SAN/2021/0017</t>
  </si>
  <si>
    <t>SAN/2021/0042</t>
  </si>
  <si>
    <t>SAN/2021/0019</t>
  </si>
  <si>
    <t>SAN/2021/0044</t>
  </si>
  <si>
    <t>Tanjung Perak-Bima</t>
  </si>
  <si>
    <t>SAG/2021/0001-Rev</t>
  </si>
  <si>
    <t>SAN/2021/0007</t>
  </si>
  <si>
    <t>Tanjung Perak-Ende</t>
  </si>
  <si>
    <t>SAN/2021/0018</t>
  </si>
  <si>
    <t>Tanjung Perak-Gorontalo</t>
  </si>
  <si>
    <t>SAN/2021/0008</t>
  </si>
  <si>
    <t>SAN/2021/0013</t>
  </si>
  <si>
    <t xml:space="preserve">SAN/2021/0029	</t>
  </si>
  <si>
    <t>SAN/2021/0021</t>
  </si>
  <si>
    <t>SAN/2021/0030</t>
  </si>
  <si>
    <t>Tanjung Perak-Kendari</t>
  </si>
  <si>
    <t>SAG/2021/0005</t>
  </si>
  <si>
    <t>SAN/2021/0031</t>
  </si>
  <si>
    <t>Tanjung Perak-Makassar</t>
  </si>
  <si>
    <t>SAG/2021/0003</t>
  </si>
  <si>
    <t>san/2021/0043</t>
  </si>
  <si>
    <t>SAG/2021/0008</t>
  </si>
  <si>
    <t>san/2021/0045</t>
  </si>
  <si>
    <t>SAN/2021/0014</t>
  </si>
  <si>
    <t>san/2021/0050</t>
  </si>
  <si>
    <t>SAN/2021/0020</t>
  </si>
  <si>
    <t>SAN/2021/0053</t>
  </si>
  <si>
    <t>Tanjung Perak-Malahayati</t>
  </si>
  <si>
    <t>SAN/2021/0005</t>
  </si>
  <si>
    <t>SAN/2021/0059</t>
  </si>
  <si>
    <t>SAN/2021/0006</t>
  </si>
  <si>
    <t>TANJUNG PERAK-BIMA</t>
  </si>
  <si>
    <t xml:space="preserve">Tanjung Perak-Malahayati </t>
  </si>
  <si>
    <t>SAG/2021/0009</t>
  </si>
  <si>
    <t>TANJUNG PERAK-BITUNG</t>
  </si>
  <si>
    <t>SAN/2021/0048</t>
  </si>
  <si>
    <t>SAN/2021/0023</t>
  </si>
  <si>
    <t>SAG/2021/0012</t>
  </si>
  <si>
    <t>Tanjung Perak-Palangkaraya</t>
  </si>
  <si>
    <t>Tanjung Perak-Pontianak</t>
  </si>
  <si>
    <t>SAN/2021/0015</t>
  </si>
  <si>
    <t>TANJUNG PERAK-ENDE</t>
  </si>
  <si>
    <t>SAN/2021/0024</t>
  </si>
  <si>
    <t>TANJUNG PERAK-GORONTALO</t>
  </si>
  <si>
    <t xml:space="preserve">Farmasi </t>
  </si>
  <si>
    <t>SAN/2021/0036</t>
  </si>
  <si>
    <t>Tanjung Perak-Samarinda</t>
  </si>
  <si>
    <t>SAG/2021/0002</t>
  </si>
  <si>
    <t>TIDAK TERMURAH</t>
  </si>
  <si>
    <t>SAN/2021/0011</t>
  </si>
  <si>
    <t>Tanjung Perak-Nunukan</t>
  </si>
  <si>
    <t>SAG/2021/0004</t>
  </si>
  <si>
    <t>SAN/2021/0028</t>
  </si>
  <si>
    <t>Tanjung Perak-Pantoloan</t>
  </si>
  <si>
    <t>SAN/2021/0002</t>
  </si>
  <si>
    <t>SAN/2021/0051</t>
  </si>
  <si>
    <t>SAN/2021/0055</t>
  </si>
  <si>
    <t>TANJUNG PERAK-KENDARI</t>
  </si>
  <si>
    <t>TANJUNG PERAK-MAKASSAR</t>
  </si>
  <si>
    <t>SAN/2021/0047</t>
  </si>
  <si>
    <t>SAN/2021/0035</t>
  </si>
  <si>
    <t>SAN/2021/0026</t>
  </si>
  <si>
    <t>SAN/2021/0046</t>
  </si>
  <si>
    <t>TANJUNG PERAK-MALAHAYATI</t>
  </si>
  <si>
    <t>SAN/2021/0040</t>
  </si>
  <si>
    <t>SAN/2021/0049</t>
  </si>
  <si>
    <t>SAN/2021/0039</t>
  </si>
  <si>
    <t>TANJUNG PERAK-NUNUKAN</t>
  </si>
  <si>
    <t>TANJUNG PERAK-PALU</t>
  </si>
  <si>
    <t>SAN/2021/0032</t>
  </si>
  <si>
    <t>TANJUNG PERAK-PONTIANAK</t>
  </si>
  <si>
    <t>SAN/2021/0057</t>
  </si>
  <si>
    <t>TANJUNG PERAK-SAMARINDA</t>
  </si>
  <si>
    <t xml:space="preserve">COUNTA of </t>
  </si>
  <si>
    <t>SUM of JUMLAH</t>
  </si>
  <si>
    <t>PT. SATORIA (PAK JAMIL &amp; MAS RIO)</t>
  </si>
  <si>
    <t>NO</t>
  </si>
  <si>
    <t>JENIS</t>
  </si>
  <si>
    <t>PERTANYAAN</t>
  </si>
  <si>
    <t>JAWABAN</t>
  </si>
  <si>
    <t>Barang Yang Dikirim</t>
  </si>
  <si>
    <t>a. Jenis dan nama barang</t>
  </si>
  <si>
    <t>berbeda tiap order</t>
  </si>
  <si>
    <t>b. Dimensi barang (Panjang x Lebar x Tinggi)</t>
  </si>
  <si>
    <t>c. Kemasan barang (Karton/Palet/Karung dll)</t>
  </si>
  <si>
    <t>d. Jumlah (Volume) barang (dalam satuan Ton/Kg setiap pengiriman)</t>
  </si>
  <si>
    <t>e. Apakah barang perlu penanganan / alat khusus dalam pengiriman? (buruh/forklift/lashing dll)</t>
  </si>
  <si>
    <t>Tidak</t>
  </si>
  <si>
    <t>Pengiriman</t>
  </si>
  <si>
    <t>a. Pengiriman via moda apa saja (Darat/Kereta Api/Laut)</t>
  </si>
  <si>
    <t>Via Darat</t>
  </si>
  <si>
    <t>b. Rute pengiriman (Sumatra/Jawa/Kalimantan/Sulawesi/Bali&amp;NTT-NTB/Maluku/Papua)</t>
  </si>
  <si>
    <t>Jawa</t>
  </si>
  <si>
    <t>c. Jenis armada yg dibutuhkan (Trailer/Wingbox/Tronton/CDD/CDE) &amp; Umur Armada (Bebas/Max 5thn/Max 10thn)</t>
  </si>
  <si>
    <t xml:space="preserve">Pickup Box, CDE Box, CDD Box, Fuso Box, Wingbox, Trailer
Umur armada max 10 tahun
</t>
  </si>
  <si>
    <t>d. Volume pengiriman (Jumlah unit kontainer 20/21/40 feet per bulan)</t>
  </si>
  <si>
    <t xml:space="preserve">Estimasi 5 – 15 kontainer 40 feet per bulan </t>
  </si>
  <si>
    <t>e. Apakah perlu buruh dan alat bongkar muat?</t>
  </si>
  <si>
    <t>Tidak perlu</t>
  </si>
  <si>
    <t>f. Apakah ada jam operasional khusus untuk muat dan bongkar? (Senin-Jumat/Sabtu-Minggu dan Jam Operasional)</t>
  </si>
  <si>
    <t>g. Apakah ada persyaratan khusus untuk driver dan armada? (Kendaraan Prima, Bersih&amp;Surat Lengkap/APD driver)</t>
  </si>
  <si>
    <t>Kendaraan Prima, Bersih &amp; Surat Lengkap, APD Driver</t>
  </si>
  <si>
    <t>Apakah asuransi wajib disediakan oleh ekspedisi? Berapa nilai asuransi yang diminta?</t>
  </si>
  <si>
    <t>Dokumen pendukung operasional</t>
  </si>
  <si>
    <t>a. Surat apa saja yang perlu didokumentasikan sebagai bukti kerja  (Purchase Order/Delivery Order/Berita Acara Serah Terima dll)</t>
  </si>
  <si>
    <t>Purchase Order</t>
  </si>
  <si>
    <t>b. Foto apa saja yang perlu didokumentasikan sebagai bukti kerja (Ambil kontainer/Stuffing/Dooring/Kontainer kembali depo)</t>
  </si>
  <si>
    <t>Ambil Kontainer, Stuffing, Dooring, Kontainer Kembali depo</t>
  </si>
  <si>
    <t>c. Apakah surat bukti kerja cukup dalam bentuk digital (foto)? (Digital dokumen/Hard copy dokumen dikirim balik ke Shipper)</t>
  </si>
  <si>
    <t xml:space="preserve">Digital Dokumen kirim by WA, Hard copy dokumen dikirim balik ke Shipper </t>
  </si>
  <si>
    <t>Pembayaran</t>
  </si>
  <si>
    <t>a. Termin pembayaran (Berapa hari akan dibayar &amp; Sejak kapan mulai dihitung jatuh tempo pembayaran)</t>
  </si>
  <si>
    <t>Akan dibayar sebelum jatuh tempo sejak invoice diterima</t>
  </si>
  <si>
    <t>b. Pajak apa yang berlaku (PPN/PPH dll)</t>
  </si>
  <si>
    <t>Pph 23 2%</t>
  </si>
  <si>
    <t>c. Dokumen pendukung apa saja yang diperlukan untuk penagihan? (Invoice/Faktur Pajak/Bukti Pengiriman/BL) &amp; (Asli / Copy)</t>
  </si>
  <si>
    <t>Invoice asli, Faktur Pajak asli, Surat Jalan asli</t>
  </si>
  <si>
    <t>d. Bila muncul biaya di luar ketentuan yang ditawarkan rekanan, bagaimana resolusinya? (ie. biaya pengawalan)</t>
  </si>
  <si>
    <t>Sebelum ada biaya tambahan mohon konfirmasi dahulu</t>
  </si>
  <si>
    <t>Catatan lain-lain</t>
  </si>
  <si>
    <t>a. Kebiasaan baik seperti apa yang diharapkan Bid Owner diberikan oleh rekanan dalam pelayanan? (ie. pengambilan barang tepat waktu)</t>
  </si>
  <si>
    <t>Pengiriman tepat waktu, Komunikasi bagus</t>
  </si>
  <si>
    <t>b. Apakah ada perlakuan khusus / unik yang diharapkan dari Bid Owner terhadap operasional pengiriman? (ie. pengiriman cepat krn barang mudah kadaluarsa)</t>
  </si>
  <si>
    <t>Pengiriman cepat, Komunikasi bagus</t>
  </si>
  <si>
    <t>CATATAN TAMBAHAN :</t>
  </si>
  <si>
    <t>1.</t>
  </si>
  <si>
    <t>LELANG</t>
  </si>
  <si>
    <t>2.</t>
  </si>
  <si>
    <t>QnA to TCI</t>
  </si>
  <si>
    <t>3.</t>
  </si>
  <si>
    <t>SARAN PHBid</t>
  </si>
  <si>
    <t>Timestamp</t>
  </si>
  <si>
    <t>Nama Anda</t>
  </si>
  <si>
    <t>Jenis Kelamin</t>
  </si>
  <si>
    <t>Kota Domisili Anda</t>
  </si>
  <si>
    <t>No telepon/WA Anda</t>
  </si>
  <si>
    <t>Kantor Tempat Anda Bekerja</t>
  </si>
  <si>
    <t>Industri/barang yang digeluti</t>
  </si>
  <si>
    <t>[Transportasi darat dalam kota]</t>
  </si>
  <si>
    <t>[Transportasi darat dalam provinsi]</t>
  </si>
  <si>
    <t>[Transportasi laut via kontainer]</t>
  </si>
  <si>
    <t>[Transportasi laut via kapal roro]</t>
  </si>
  <si>
    <t>[Transportasi laut via ekspedisi]</t>
  </si>
  <si>
    <t>[Transportasi udara]</t>
  </si>
  <si>
    <t>Seberapa sering melakukan pengiriman dalam 1 bulan</t>
  </si>
  <si>
    <t>Faktor [Trucking]</t>
  </si>
  <si>
    <t>Faktor [Pelabuhan]</t>
  </si>
  <si>
    <t>Faktor [Pelayaran]</t>
  </si>
  <si>
    <t>Faktor [Pungutan]</t>
  </si>
  <si>
    <t>Faktor [Lain-lain]</t>
  </si>
  <si>
    <t>Menurut anda, apakah barang anda cukup kompeititif dibandingkan barang serupa di industry anda</t>
  </si>
  <si>
    <t>Menurut Anda, berapa% pengaruh biaya logistik terhadap harga produk anda?</t>
  </si>
  <si>
    <t xml:space="preserve">Menurut Anda, bagaimana peran biaya logistik produk anda terhadap daya saing usaha Anda? </t>
  </si>
  <si>
    <t>Menurut anda, Apa yang menyebabkan biaya logistik Anda tinggi?</t>
  </si>
  <si>
    <t xml:space="preserve">Apa menurut Anda pesaing anda juga menghadapi masalah serupa di logistik mereka? </t>
  </si>
  <si>
    <t>Apa strategi perusahaan anda untuk tetap kompetitif?</t>
  </si>
  <si>
    <t>Ronni Rombe</t>
  </si>
  <si>
    <t>Laki-Laki</t>
  </si>
  <si>
    <t>Jakarta</t>
  </si>
  <si>
    <t>0881123233</t>
  </si>
  <si>
    <t>Pabrik</t>
  </si>
  <si>
    <t>Makanan/Minuman</t>
  </si>
  <si>
    <t>&gt;30 kali</t>
  </si>
  <si>
    <t>Kurang, barang saya termasuk agak mahal</t>
  </si>
  <si>
    <t>1-5%</t>
  </si>
  <si>
    <t>Sedikit mengganggu. Biaya logistik saya bisa lebih efisien dari saat ini</t>
  </si>
  <si>
    <t>Dhaniel Christian</t>
  </si>
  <si>
    <t>Surabaya</t>
  </si>
  <si>
    <t>081249450707</t>
  </si>
  <si>
    <t>Distributor</t>
  </si>
  <si>
    <t>FMCG</t>
  </si>
  <si>
    <t>6-10%</t>
  </si>
  <si>
    <t>Tiwi</t>
  </si>
  <si>
    <t>Perempuan</t>
  </si>
  <si>
    <t>Bogor</t>
  </si>
  <si>
    <t>021 889999</t>
  </si>
  <si>
    <t>Semen</t>
  </si>
  <si>
    <t>21-30 kali</t>
  </si>
  <si>
    <t>Ya, barang saya termasuk termurah</t>
  </si>
  <si>
    <t>&gt;15%</t>
  </si>
  <si>
    <t>Hafidhuddin</t>
  </si>
  <si>
    <t>Berau</t>
  </si>
  <si>
    <t>082149217537</t>
  </si>
  <si>
    <t>Peternak</t>
  </si>
  <si>
    <t>Pertanian</t>
  </si>
  <si>
    <t>1-10 kali</t>
  </si>
  <si>
    <t>Tidak mengganggu. Biaya logistik tidak mengganggu daya saing produk saya</t>
  </si>
  <si>
    <t>Henrianto</t>
  </si>
  <si>
    <t>082231343975</t>
  </si>
  <si>
    <t>Bahan bangunan</t>
  </si>
  <si>
    <t>11-15%</t>
  </si>
  <si>
    <t>Jerry</t>
  </si>
  <si>
    <t>Medan</t>
  </si>
  <si>
    <t>085275562565</t>
  </si>
  <si>
    <t>Nganggur</t>
  </si>
  <si>
    <t>Lazarus</t>
  </si>
  <si>
    <t>085649466646</t>
  </si>
  <si>
    <t>Ruko</t>
  </si>
  <si>
    <t>Ekspedisi</t>
  </si>
  <si>
    <t>Karena barang saya besar/berat namun harga tidak mahal sehingga biaya logistik sangat mengganggu</t>
  </si>
  <si>
    <t>Ya, mereka mempunyai masalah serupa</t>
  </si>
  <si>
    <t>Menekan biaya logistik</t>
  </si>
  <si>
    <t>Prayoga</t>
  </si>
  <si>
    <t>Bekasi</t>
  </si>
  <si>
    <t>081315153254</t>
  </si>
  <si>
    <t>Kontraktor</t>
  </si>
  <si>
    <t>Konstruksi</t>
  </si>
  <si>
    <t>Karena tujuan pasar saya jauh/sulit terjangkau</t>
  </si>
  <si>
    <t>Bily</t>
  </si>
  <si>
    <t>Sidoarjo</t>
  </si>
  <si>
    <t>08991221271</t>
  </si>
  <si>
    <t>Ecommerce</t>
  </si>
  <si>
    <t>Home Appliance</t>
  </si>
  <si>
    <t>Sangat mengganggu.  Biaya logistik saya mengganggu daya saing usaha.</t>
  </si>
  <si>
    <t>Karena fasilitas logistik di indonesia biaya nya mahal</t>
  </si>
  <si>
    <t>Menekan biaya logistik, Menaikkan volume pengiriman, Efisiensi biaya secara keseluruhan operasional</t>
  </si>
  <si>
    <t>JULYUS ADRSON TUKKENG</t>
  </si>
  <si>
    <t>BANDUNG</t>
  </si>
  <si>
    <t>08111831507</t>
  </si>
  <si>
    <t>Ucok siregar</t>
  </si>
  <si>
    <t>081385405406</t>
  </si>
  <si>
    <t>Menekan biaya logistik, Menaikkan volume pengiriman</t>
  </si>
  <si>
    <t>Ari Murti Wicaksono</t>
  </si>
  <si>
    <t>DKI Jakarta</t>
  </si>
  <si>
    <t>081574783142</t>
  </si>
  <si>
    <t>Cukup mengganggu. Biaya logistik saya tidak efisien</t>
  </si>
  <si>
    <t xml:space="preserve">Volume pengiriman barang yang masih belum maksimal </t>
  </si>
  <si>
    <t>Beberapa ya, sementara yang lain tidak</t>
  </si>
  <si>
    <t xml:space="preserve">Dedy </t>
  </si>
  <si>
    <t>0816266240</t>
  </si>
  <si>
    <t>Importer and Distributor</t>
  </si>
  <si>
    <t>Home Appliances</t>
  </si>
  <si>
    <t xml:space="preserve">Distribution Centre hanya satu untuk coverage national tapi selama bisa manage tranportasi, trucking utlization, minimum order auantitu san direct import ke distributor harusnya gk masalah </t>
  </si>
  <si>
    <t>Tidak tahu</t>
  </si>
  <si>
    <t>Erwin</t>
  </si>
  <si>
    <t>Tangerang</t>
  </si>
  <si>
    <t>02154200888</t>
  </si>
  <si>
    <t>Tidak, barang saya termasuk mahal</t>
  </si>
  <si>
    <t>Lead Time</t>
  </si>
  <si>
    <t>Eko Setyanto</t>
  </si>
  <si>
    <t>08128465295</t>
  </si>
  <si>
    <t>Karena perlu dikirim hingga remote area</t>
  </si>
  <si>
    <t>Menaikkan volume pengiriman</t>
  </si>
  <si>
    <t>Rustam Effendy</t>
  </si>
  <si>
    <t>08111871387</t>
  </si>
  <si>
    <t>Karena saya kurang mengenal ekspedisi</t>
  </si>
  <si>
    <t>Menurunkan profit</t>
  </si>
  <si>
    <t>Putu Ngurah Wibisana</t>
  </si>
  <si>
    <t>Tangerang Selatan</t>
  </si>
  <si>
    <t>081284969616</t>
  </si>
  <si>
    <t>Karena barang saya mudah rusak sehingga harus memakai alat khusus, Karena tujuan pasar saya jauh/sulit terjangkau</t>
  </si>
  <si>
    <t>Menaikkan volume pengiriman, Mengurangi area pengiriman, Menambah termin pembayaran</t>
  </si>
  <si>
    <t>Ricky Mongula</t>
  </si>
  <si>
    <t>085664466546</t>
  </si>
  <si>
    <t>Kantor Pusat</t>
  </si>
  <si>
    <t>Menekan biaya logistik, Menaikkan volume pengiriman, Mengurangi area pengiriman</t>
  </si>
  <si>
    <t>Abdul Rohim</t>
  </si>
  <si>
    <t>081222992828</t>
  </si>
  <si>
    <t>Pertambangan</t>
  </si>
  <si>
    <t>Tambang</t>
  </si>
  <si>
    <t>11-20 kali</t>
  </si>
  <si>
    <t>Menambah termin pembayaran</t>
  </si>
  <si>
    <t>Dicky Riski Saputra</t>
  </si>
  <si>
    <t>Karawang</t>
  </si>
  <si>
    <t>081906711193</t>
  </si>
  <si>
    <t>Ketidakseimbangan antara supply &amp; demand.</t>
  </si>
  <si>
    <t>Sandi Zay</t>
  </si>
  <si>
    <t>+601116235378</t>
  </si>
  <si>
    <t>Menekan biaya logistik, Menaikkan volume pengiriman, Menambah termin pembayaran</t>
  </si>
  <si>
    <t>Dinar</t>
  </si>
  <si>
    <t>085839376888</t>
  </si>
  <si>
    <t>Abdul Holil</t>
  </si>
  <si>
    <t>08111016856</t>
  </si>
  <si>
    <t>Kitchen Set Manufacturing</t>
  </si>
  <si>
    <t>Menurunkan profit, Menekan biaya logistik, Menaikkan volume pengiriman</t>
  </si>
  <si>
    <t>Achadijat</t>
  </si>
  <si>
    <t>085224258055</t>
  </si>
  <si>
    <t>3PL</t>
  </si>
  <si>
    <t>Retail, Manufaktur, Export Import</t>
  </si>
  <si>
    <t>masih dapat dimanage</t>
  </si>
  <si>
    <t>Recruit Vendor baru, Tender dan assessment</t>
  </si>
  <si>
    <t>Alvin Chong</t>
  </si>
  <si>
    <t>jakarta barat</t>
  </si>
  <si>
    <t>082124258212</t>
  </si>
  <si>
    <t>Perusahaan</t>
  </si>
  <si>
    <t>tidak tinggi</t>
  </si>
  <si>
    <t>ESTIKO</t>
  </si>
  <si>
    <t>JAKARTA</t>
  </si>
  <si>
    <t>081311509670</t>
  </si>
  <si>
    <t>Wahyu Cahyono</t>
  </si>
  <si>
    <t>Depok</t>
  </si>
  <si>
    <t>085893005505</t>
  </si>
  <si>
    <t>Alkes</t>
  </si>
  <si>
    <t>Dodi</t>
  </si>
  <si>
    <t>085214135182</t>
  </si>
  <si>
    <t>Karena barang saya mudah rusak sehingga harus memakai alat khusus</t>
  </si>
  <si>
    <t>Ade Kusuma</t>
  </si>
  <si>
    <t>Gresik</t>
  </si>
  <si>
    <t>081316179792</t>
  </si>
  <si>
    <t>Pakan ternak</t>
  </si>
  <si>
    <t>Feby</t>
  </si>
  <si>
    <t>Jakarta barat</t>
  </si>
  <si>
    <t>0813</t>
  </si>
  <si>
    <t>Yan Arisandi</t>
  </si>
  <si>
    <t>081360641602</t>
  </si>
  <si>
    <t>Di rumah</t>
  </si>
  <si>
    <t xml:space="preserve">Saya jasa pengiriman juga jadi saya pernah kirim barang-barang tersebut diatas </t>
  </si>
  <si>
    <t xml:space="preserve">Menekan biaya logistik, Memberikan service yang terbaik </t>
  </si>
  <si>
    <t>Achmad Renaldy</t>
  </si>
  <si>
    <t>Palembang</t>
  </si>
  <si>
    <t>085383456002</t>
  </si>
  <si>
    <t>Perusahaan Swasta</t>
  </si>
  <si>
    <t>Logistik</t>
  </si>
  <si>
    <t>Perawatan armada dan biaya operasional pengiriman</t>
  </si>
  <si>
    <t>Rudi W</t>
  </si>
  <si>
    <t>081246060017</t>
  </si>
  <si>
    <t>Karena barang saya besar/berat namun harga tidak mahal sehingga biaya logistik sangat mengganggu, Karena tujuan pasar saya jauh/sulit terjangkau</t>
  </si>
  <si>
    <t>Dian</t>
  </si>
  <si>
    <t>0811464719</t>
  </si>
  <si>
    <t>Tidak, mereka tidak punya masalah logistik seperti saya</t>
  </si>
  <si>
    <t>Daliman</t>
  </si>
  <si>
    <t>081364904364</t>
  </si>
  <si>
    <t>Phillip Gandamana</t>
  </si>
  <si>
    <t>0817779666</t>
  </si>
  <si>
    <t>Karena barang saya besar/berat namun harga tidak mahal sehingga biaya logistik sangat mengganggu, Karena barang saya mudah rusak sehingga harus memakai alat khusus</t>
  </si>
  <si>
    <t>Menaikkan volume pengiriman, Menambah termin pembayaran</t>
  </si>
  <si>
    <t>Tri sugianto w</t>
  </si>
  <si>
    <t>tangerang</t>
  </si>
  <si>
    <t>081213307874</t>
  </si>
  <si>
    <t>manufaktur</t>
  </si>
  <si>
    <t xml:space="preserve">Zaenal Arifin </t>
  </si>
  <si>
    <t>Pergudangan</t>
  </si>
  <si>
    <t>Automotive part</t>
  </si>
  <si>
    <t>Baskoro ABC</t>
  </si>
  <si>
    <t>0811984075</t>
  </si>
  <si>
    <t>Retailer</t>
  </si>
  <si>
    <t>Health &amp; Beauty</t>
  </si>
  <si>
    <t>Karena barang saya mudah rusak sehingga harus memakai alat khusus, Kerusakan &amp; kehilangan barang ketika proses delivery</t>
  </si>
  <si>
    <t>Achmed Zaelani</t>
  </si>
  <si>
    <t>Bandung</t>
  </si>
  <si>
    <t>08122163275</t>
  </si>
  <si>
    <t>Plastik Paskaging</t>
  </si>
  <si>
    <t>Indra H</t>
  </si>
  <si>
    <t>08176425825</t>
  </si>
  <si>
    <t>Principal</t>
  </si>
  <si>
    <t>Andry Ch Kusnadi</t>
  </si>
  <si>
    <t>081808965278</t>
  </si>
  <si>
    <t>ANDRIAL</t>
  </si>
  <si>
    <t>081382282200</t>
  </si>
  <si>
    <t xml:space="preserve">Karena barang saya mudah rusak sehingga harus memakai alat khusus, Volume </t>
  </si>
  <si>
    <t>Dedi P</t>
  </si>
  <si>
    <t>08117309081</t>
  </si>
  <si>
    <t xml:space="preserve">Karena barang saya besar/berat namun harga tidak mahal sehingga biaya logistik sangat mengganggu, Mahal nya biaya bongkar dengan kuli di setiap daerah yg berbeda.. </t>
  </si>
  <si>
    <t>Menekan biaya logistik, Menaikkan volume pengiriman, Kolaborasi dengan principal lain sehingga volume dgn konsul dengan product yg sejenis akan lebih efisien</t>
  </si>
  <si>
    <t>Yusairi</t>
  </si>
  <si>
    <t>081316495081</t>
  </si>
  <si>
    <t>Migas</t>
  </si>
  <si>
    <t>biaya logistik tidak tinggi</t>
  </si>
  <si>
    <t>Bobby IP</t>
  </si>
  <si>
    <t>+622130050705</t>
  </si>
  <si>
    <t>Prinsipal, Trading</t>
  </si>
  <si>
    <t>Industrial dan Tambang</t>
  </si>
  <si>
    <t>Karena barang saya mudah rusak sehingga harus memakai alat khusus, faktor dinamika politik dan ekonomi cukup berpengaruh juga</t>
  </si>
  <si>
    <t>SUB</t>
  </si>
  <si>
    <t>A. Industri</t>
  </si>
  <si>
    <t>1. Industri tempat dia bekerja, berapa lama.</t>
  </si>
  <si>
    <t>2. Apa dia pabrik, distribusi, toko, atau apa, siapa customer dan vendornya</t>
  </si>
  <si>
    <t>3. Referensi Industri dia apa: asosiasi, grup facebook ?</t>
  </si>
  <si>
    <t>B. Logistics</t>
  </si>
  <si>
    <t>1. Inbound:</t>
  </si>
  <si>
    <t>a. apa raw material terbanyak, beli dari mana dan bgmn logistik pengirimannya? (apa dia merasakan kesulitan di sana?)</t>
  </si>
  <si>
    <t>b. Vendor inbound saat ini:</t>
  </si>
  <si>
    <t>- Siapa, bgmn cara menemukan vendor ini (diberi info teman, cari sendiri, atau perintah atasan, dll)</t>
  </si>
  <si>
    <t>- Kenapa memakai vendor ini, bagaimana performance dan cara menilai performance nya?</t>
  </si>
  <si>
    <t>- Bgmn kriteria menilai vendor?</t>
  </si>
  <si>
    <t>c. Menurut dia, apa yang dia harapkan perbaikan dari sistem logistik inbound dia skrg dan kenapa?</t>
  </si>
  <si>
    <t>2. Outbound:</t>
  </si>
  <si>
    <t>a. apa hasil produksinya, dijual kemana, dan bagaimana logistik pengirimannya? (apa dia merasakan kesulitan di sana?)</t>
  </si>
  <si>
    <t>b. Vendor outbound saat ini:</t>
  </si>
  <si>
    <t>c. Menurut dia, apa yang dia harapkan perbaikan dari sistem logistik outbound dia skrg dan kenapa?</t>
  </si>
</sst>
</file>

<file path=xl/styles.xml><?xml version="1.0" encoding="utf-8"?>
<styleSheet xmlns="http://schemas.openxmlformats.org/spreadsheetml/2006/main">
  <numFmts count="15">
    <numFmt numFmtId="176" formatCode="dd\/mm\/yyyy"/>
    <numFmt numFmtId="177" formatCode="[$Rp]#,##0"/>
    <numFmt numFmtId="178" formatCode="dd/mm/yyyy\ h:mm:ss"/>
    <numFmt numFmtId="179" formatCode="dd/mm/yyyy\ h:mm"/>
    <numFmt numFmtId="180" formatCode="dd&quot;/&quot;mm&quot;/&quot;yyyy&quot; &quot;hh&quot;:&quot;mm"/>
    <numFmt numFmtId="181" formatCode="[$Rp-421]#,##0"/>
    <numFmt numFmtId="182" formatCode="dd/mm/yyyy"/>
    <numFmt numFmtId="183" formatCode="#,##0.00_);&quot;-&quot;#,##0.00_)"/>
    <numFmt numFmtId="184" formatCode="hh&quot;.&quot;mm&quot;.&quot;ss"/>
    <numFmt numFmtId="185" formatCode="m/d/yyyy\ h:mm:ss"/>
    <numFmt numFmtId="42" formatCode="_(&quot;$&quot;* #,##0_);_(&quot;$&quot;* \(#,##0\);_(&quot;$&quot;* &quot;-&quot;_);_(@_)"/>
    <numFmt numFmtId="186" formatCode="_ * #,##0_ ;_ * \-#,##0_ ;_ * &quot;-&quot;_ ;_ @_ "/>
    <numFmt numFmtId="44" formatCode="_(&quot;$&quot;* #,##0.00_);_(&quot;$&quot;* \(#,##0.00\);_(&quot;$&quot;* &quot;-&quot;??_);_(@_)"/>
    <numFmt numFmtId="187" formatCode="dd"/>
    <numFmt numFmtId="188" formatCode="_ * #,##0.00_ ;_ * \-#,##0.00_ ;_ * &quot;-&quot;??_ ;_ @_ "/>
  </numFmts>
  <fonts count="31"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Calibri"/>
      <charset val="134"/>
    </font>
    <font>
      <sz val="10"/>
      <name val="Arial"/>
      <charset val="134"/>
    </font>
    <font>
      <b/>
      <sz val="10"/>
      <color theme="1"/>
      <name val="Arial"/>
      <charset val="134"/>
    </font>
    <font>
      <b/>
      <sz val="18"/>
      <color theme="1"/>
      <name val="Arial"/>
      <charset val="134"/>
    </font>
    <font>
      <b/>
      <sz val="16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Inconsolata"/>
      <charset val="134"/>
    </font>
    <font>
      <b/>
      <sz val="11"/>
      <color rgb="FF000000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9C0006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FFFFFF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6" fillId="3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2" fillId="15" borderId="28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14" borderId="27" applyNumberFormat="0" applyFont="0" applyAlignment="0" applyProtection="0">
      <alignment vertical="center"/>
    </xf>
    <xf numFmtId="0" fontId="25" fillId="22" borderId="2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15" borderId="29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186" fontId="12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188" fontId="12" fillId="0" borderId="0" applyFont="0" applyFill="0" applyBorder="0" applyAlignment="0" applyProtection="0">
      <alignment vertical="center"/>
    </xf>
    <xf numFmtId="0" fontId="26" fillId="27" borderId="32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97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3" fillId="0" borderId="1" xfId="0" applyFont="1" applyBorder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185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85" fontId="1" fillId="0" borderId="0" xfId="0" applyNumberFormat="1" applyFont="1"/>
    <xf numFmtId="0" fontId="1" fillId="0" borderId="0" xfId="0" applyFont="1" applyAlignment="1">
      <alignment horizontal="left"/>
    </xf>
    <xf numFmtId="0" fontId="6" fillId="3" borderId="3" xfId="0" applyFont="1" applyFill="1" applyBorder="1" applyAlignment="1">
      <alignment horizontal="center" vertical="center"/>
    </xf>
    <xf numFmtId="0" fontId="4" fillId="0" borderId="7" xfId="0" applyFont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0" xfId="0" applyFont="1"/>
    <xf numFmtId="0" fontId="0" fillId="0" borderId="17" xfId="0" applyFont="1" applyBorder="1"/>
    <xf numFmtId="0" fontId="0" fillId="0" borderId="18" xfId="0" applyFont="1" applyBorder="1"/>
    <xf numFmtId="0" fontId="0" fillId="0" borderId="19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0" fillId="0" borderId="20" xfId="0" applyFont="1" applyBorder="1"/>
    <xf numFmtId="0" fontId="0" fillId="0" borderId="21" xfId="0" applyFont="1" applyBorder="1"/>
    <xf numFmtId="0" fontId="0" fillId="0" borderId="22" xfId="0" applyFont="1" applyBorder="1"/>
    <xf numFmtId="0" fontId="0" fillId="0" borderId="23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4" fillId="0" borderId="0" xfId="0" applyFont="1" applyBorder="1"/>
    <xf numFmtId="0" fontId="1" fillId="4" borderId="0" xfId="0" applyFont="1" applyFill="1" applyBorder="1" applyAlignment="1">
      <alignment horizontal="center"/>
    </xf>
    <xf numFmtId="183" fontId="5" fillId="2" borderId="1" xfId="0" applyNumberFormat="1" applyFont="1" applyFill="1" applyBorder="1" applyAlignment="1">
      <alignment horizontal="center" wrapText="1"/>
    </xf>
    <xf numFmtId="46" fontId="5" fillId="2" borderId="0" xfId="0" applyNumberFormat="1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/>
    </xf>
    <xf numFmtId="183" fontId="1" fillId="0" borderId="0" xfId="0" applyNumberFormat="1" applyFont="1"/>
    <xf numFmtId="46" fontId="1" fillId="0" borderId="0" xfId="0" applyNumberFormat="1" applyFont="1"/>
    <xf numFmtId="184" fontId="1" fillId="0" borderId="0" xfId="0" applyNumberFormat="1" applyFont="1"/>
    <xf numFmtId="187" fontId="1" fillId="0" borderId="0" xfId="0" applyNumberFormat="1" applyFont="1"/>
    <xf numFmtId="182" fontId="1" fillId="0" borderId="0" xfId="0" applyNumberFormat="1" applyFont="1"/>
    <xf numFmtId="181" fontId="1" fillId="0" borderId="0" xfId="0" applyNumberFormat="1" applyFont="1"/>
    <xf numFmtId="179" fontId="1" fillId="0" borderId="0" xfId="0" applyNumberFormat="1" applyFont="1"/>
    <xf numFmtId="0" fontId="1" fillId="0" borderId="0" xfId="0" applyFont="1" applyAlignment="1">
      <alignment horizontal="right" vertical="top" wrapText="1"/>
    </xf>
    <xf numFmtId="58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5" borderId="0" xfId="0" applyFont="1" applyFill="1" applyBorder="1" applyAlignment="1">
      <alignment vertical="top" wrapText="1"/>
    </xf>
    <xf numFmtId="180" fontId="1" fillId="0" borderId="0" xfId="0" applyNumberFormat="1" applyFont="1" applyAlignment="1">
      <alignment vertical="top" wrapText="1"/>
    </xf>
    <xf numFmtId="178" fontId="1" fillId="0" borderId="0" xfId="0" applyNumberFormat="1" applyFont="1" applyAlignment="1">
      <alignment horizontal="left" vertical="top" wrapText="1"/>
    </xf>
    <xf numFmtId="179" fontId="1" fillId="0" borderId="0" xfId="0" applyNumberFormat="1" applyFont="1" applyAlignment="1">
      <alignment vertical="top" wrapText="1"/>
    </xf>
    <xf numFmtId="177" fontId="1" fillId="0" borderId="0" xfId="0" applyNumberFormat="1" applyFont="1" applyAlignment="1">
      <alignment vertical="top" wrapText="1"/>
    </xf>
    <xf numFmtId="181" fontId="1" fillId="0" borderId="0" xfId="0" applyNumberFormat="1" applyFont="1" applyAlignment="1">
      <alignment vertical="top" wrapText="1"/>
    </xf>
    <xf numFmtId="58" fontId="1" fillId="0" borderId="0" xfId="0" applyNumberFormat="1" applyFont="1"/>
    <xf numFmtId="180" fontId="9" fillId="5" borderId="0" xfId="0" applyNumberFormat="1" applyFont="1" applyFill="1" applyBorder="1" applyAlignment="1">
      <alignment horizontal="left"/>
    </xf>
    <xf numFmtId="180" fontId="1" fillId="0" borderId="0" xfId="0" applyNumberFormat="1" applyFont="1"/>
    <xf numFmtId="0" fontId="1" fillId="0" borderId="0" xfId="0" applyFont="1" applyAlignment="1">
      <alignment wrapText="1"/>
    </xf>
    <xf numFmtId="177" fontId="1" fillId="0" borderId="0" xfId="0" applyNumberFormat="1" applyFont="1"/>
    <xf numFmtId="0" fontId="0" fillId="0" borderId="0" xfId="0" applyNumberFormat="1" applyFont="1" applyAlignment="1"/>
    <xf numFmtId="179" fontId="0" fillId="0" borderId="0" xfId="0" applyNumberFormat="1" applyFont="1" applyAlignment="1"/>
    <xf numFmtId="0" fontId="8" fillId="0" borderId="0" xfId="0" applyNumberFormat="1" applyFont="1"/>
    <xf numFmtId="182" fontId="8" fillId="0" borderId="0" xfId="0" applyNumberFormat="1" applyFont="1"/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0" borderId="1" xfId="0" applyNumberFormat="1" applyFont="1" applyBorder="1" applyAlignment="1">
      <alignment vertical="center"/>
    </xf>
    <xf numFmtId="179" fontId="8" fillId="0" borderId="1" xfId="0" applyNumberFormat="1" applyFont="1" applyBorder="1" applyAlignment="1">
      <alignment vertical="center"/>
    </xf>
    <xf numFmtId="176" fontId="8" fillId="0" borderId="1" xfId="0" applyNumberFormat="1" applyFont="1" applyBorder="1" applyAlignment="1">
      <alignment vertical="center"/>
    </xf>
    <xf numFmtId="0" fontId="8" fillId="0" borderId="24" xfId="0" applyNumberFormat="1" applyFont="1" applyBorder="1" applyAlignment="1">
      <alignment vertical="center"/>
    </xf>
    <xf numFmtId="179" fontId="8" fillId="0" borderId="24" xfId="0" applyNumberFormat="1" applyFont="1" applyBorder="1" applyAlignment="1">
      <alignment vertical="center"/>
    </xf>
    <xf numFmtId="176" fontId="8" fillId="0" borderId="24" xfId="0" applyNumberFormat="1" applyFont="1" applyBorder="1" applyAlignment="1">
      <alignment vertical="center"/>
    </xf>
    <xf numFmtId="0" fontId="8" fillId="0" borderId="0" xfId="0" applyNumberFormat="1" applyFont="1" applyBorder="1" applyAlignment="1">
      <alignment vertical="center"/>
    </xf>
    <xf numFmtId="179" fontId="8" fillId="0" borderId="0" xfId="0" applyNumberFormat="1" applyFont="1" applyBorder="1" applyAlignment="1">
      <alignment vertical="center"/>
    </xf>
    <xf numFmtId="176" fontId="8" fillId="0" borderId="0" xfId="0" applyNumberFormat="1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NumberFormat="1" applyFont="1"/>
    <xf numFmtId="179" fontId="0" fillId="0" borderId="0" xfId="0" applyNumberFormat="1" applyFont="1"/>
    <xf numFmtId="0" fontId="1" fillId="0" borderId="0" xfId="0" applyFont="1" applyAlignment="1" quotePrefix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9"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Sheet19-style" pivot="0" count="3"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Jumlah Pengiriman Per-Rute</a:t>
            </a:r>
            <a:endParaRPr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"COUNTA of "</c:f>
              <c:strCache>
                <c:ptCount val="1"/>
                <c:pt idx="0">
                  <c:v>COUNTA of 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invertIfNegative val="1"/>
            <c:bubble3D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CHART!$K$2:$K$14</c:f>
              <c:strCache>
                <c:ptCount val="13"/>
                <c:pt idx="0">
                  <c:v>TANJUNG PERAK-BADAS</c:v>
                </c:pt>
                <c:pt idx="1">
                  <c:v>TANJUNG PERAK-BANJARMASIN</c:v>
                </c:pt>
                <c:pt idx="2">
                  <c:v>TANJUNG PERAK-BELAWAN</c:v>
                </c:pt>
                <c:pt idx="3">
                  <c:v>TANJUNG PERAK-BIMA</c:v>
                </c:pt>
                <c:pt idx="4">
                  <c:v>TANJUNG PERAK-BITUNG</c:v>
                </c:pt>
                <c:pt idx="5">
                  <c:v>TANJUNG PERAK-ENDE</c:v>
                </c:pt>
                <c:pt idx="6">
                  <c:v>TANJUNG PERAK-GORONTALO</c:v>
                </c:pt>
                <c:pt idx="7">
                  <c:v>TANJUNG PERAK-KENDARI</c:v>
                </c:pt>
                <c:pt idx="8">
                  <c:v>TANJUNG PERAK-MAKASSAR</c:v>
                </c:pt>
                <c:pt idx="9">
                  <c:v>TANJUNG PERAK-MALAHAYATI</c:v>
                </c:pt>
                <c:pt idx="10">
                  <c:v>TANJUNG PERAK-NUNUKAN</c:v>
                </c:pt>
                <c:pt idx="11">
                  <c:v>TANJUNG PERAK-PONTIANAK</c:v>
                </c:pt>
                <c:pt idx="12">
                  <c:v>TANJUNG PERAK-SAMARINDA</c:v>
                </c:pt>
              </c:strCache>
            </c:strRef>
          </c:cat>
          <c:val>
            <c:numRef>
              <c:f>CHART!$L$2:$L$14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892186"/>
        <c:axId val="283422132"/>
      </c:barChart>
      <c:catAx>
        <c:axId val="1239892186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83422132"/>
        <c:crosses val="autoZero"/>
        <c:auto val="1"/>
        <c:lblAlgn val="ctr"/>
        <c:lblOffset val="100"/>
        <c:noMultiLvlLbl val="1"/>
      </c:catAx>
      <c:valAx>
        <c:axId val="2834221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COUNTA of </a:t>
                </a:r>
                <a:endParaRPr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3989218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Partner Pemenang Lelang</a:t>
            </a:r>
            <a:endParaRPr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CHART!$O$1</c:f>
              <c:strCache>
                <c:ptCount val="1"/>
                <c:pt idx="0">
                  <c:v>PT Satoria Aneka Industri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CHART!$N$2:$N$5</c:f>
              <c:strCache>
                <c:ptCount val="4"/>
                <c:pt idx="1">
                  <c:v>PARTNER</c:v>
                </c:pt>
                <c:pt idx="2">
                  <c:v>PT SINAR BARU LOGISTIK</c:v>
                </c:pt>
                <c:pt idx="3">
                  <c:v>PT. Anugerah Trans Maritim</c:v>
                </c:pt>
              </c:strCache>
            </c:strRef>
          </c:cat>
          <c:val>
            <c:numRef>
              <c:f>CHART!$O$2:$O$5</c:f>
              <c:numCache>
                <c:formatCode>General</c:formatCode>
                <c:ptCount val="4"/>
                <c:pt idx="1">
                  <c:v>0</c:v>
                </c:pt>
                <c:pt idx="2">
                  <c:v>2</c:v>
                </c:pt>
                <c:pt idx="3">
                  <c:v>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rgbClr val="1A1A1A"/>
              </a:solidFill>
              <a:latin typeface="Arial"/>
              <a:ea typeface="+mn-ea"/>
              <a:cs typeface="+mn-cs"/>
            </a:defRPr>
          </a:pPr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4933950" cy="3095625"/>
    <xdr:graphicFrame>
      <xdr:nvGraphicFramePr>
        <xdr:cNvPr id="2137348509" name="Chart 1" title="Diagram"/>
        <xdr:cNvGraphicFramePr/>
      </xdr:nvGraphicFramePr>
      <xdr:xfrm>
        <a:off x="0" y="0"/>
        <a:ext cx="4933950" cy="3095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200025</xdr:rowOff>
    </xdr:from>
    <xdr:ext cx="6867525" cy="3743325"/>
    <xdr:graphicFrame>
      <xdr:nvGraphicFramePr>
        <xdr:cNvPr id="1568119127" name="Chart 2" title="Diagram"/>
        <xdr:cNvGraphicFramePr/>
      </xdr:nvGraphicFramePr>
      <xdr:xfrm>
        <a:off x="0" y="3000375"/>
        <a:ext cx="6867525" cy="3743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3:Z234" headerRowCount="0">
  <tableColumns count="26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  <tableColumn id="18" name="Column18" dataDxfId="17"/>
    <tableColumn id="19" name="Column19" dataDxfId="18"/>
    <tableColumn id="20" name="Column20" dataDxfId="19"/>
    <tableColumn id="21" name="Column21" dataDxfId="20"/>
    <tableColumn id="22" name="Column22" dataDxfId="21"/>
    <tableColumn id="23" name="Column23" dataDxfId="22"/>
    <tableColumn id="24" name="Column24" dataDxfId="23"/>
    <tableColumn id="25" name="Column25" dataDxfId="24"/>
    <tableColumn id="26" name="Column26" dataDxfId="25"/>
  </tableColumns>
  <tableStyleInfo name="Sheet1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tabSelected="1" workbookViewId="0">
      <selection activeCell="E3" sqref="E3"/>
    </sheetView>
  </sheetViews>
  <sheetFormatPr defaultColWidth="14.4285714285714" defaultRowHeight="15" customHeight="1"/>
  <cols>
    <col min="1" max="1" width="30.7142857142857" style="78" customWidth="1"/>
    <col min="2" max="2" width="16.2857142857143" style="78" customWidth="1"/>
    <col min="3" max="3" width="22.1428571428571" style="79" customWidth="1"/>
    <col min="4" max="4" width="17.5714285714286" customWidth="1"/>
    <col min="5" max="5" width="18.1428571428571" customWidth="1"/>
    <col min="6" max="25" width="8.85714285714286" customWidth="1"/>
    <col min="26" max="26" width="8.71428571428571" customWidth="1"/>
  </cols>
  <sheetData>
    <row r="1" ht="12.75" customHeight="1" spans="1:26">
      <c r="A1" s="80"/>
      <c r="B1" s="80"/>
      <c r="C1" s="80"/>
      <c r="D1" s="81"/>
      <c r="E1" s="81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2.75" customHeight="1" spans="1:26">
      <c r="A2" s="82" t="s">
        <v>0</v>
      </c>
      <c r="B2" s="82" t="s">
        <v>1</v>
      </c>
      <c r="C2" s="82" t="s">
        <v>2</v>
      </c>
      <c r="D2" s="83" t="s">
        <v>3</v>
      </c>
      <c r="E2" s="83" t="s">
        <v>4</v>
      </c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12.75" customHeight="1" spans="1:26">
      <c r="A3" s="84" t="s">
        <v>5</v>
      </c>
      <c r="B3" s="84" t="s">
        <v>6</v>
      </c>
      <c r="C3" s="85" t="s">
        <v>7</v>
      </c>
      <c r="D3" s="86">
        <v>44460</v>
      </c>
      <c r="E3" s="86">
        <v>44460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2.75" customHeight="1" spans="1:26">
      <c r="A4" s="84"/>
      <c r="B4" s="84"/>
      <c r="C4" s="85"/>
      <c r="D4" s="86"/>
      <c r="E4" s="86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2.75" customHeight="1" spans="1:26">
      <c r="A5" s="84"/>
      <c r="B5" s="84"/>
      <c r="C5" s="85"/>
      <c r="D5" s="86"/>
      <c r="E5" s="86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2.75" customHeight="1" spans="1:26">
      <c r="A6" s="84"/>
      <c r="B6" s="84"/>
      <c r="C6" s="85"/>
      <c r="D6" s="86"/>
      <c r="E6" s="86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4.25" customHeight="1" spans="1:26">
      <c r="A7" s="84"/>
      <c r="B7" s="84"/>
      <c r="C7" s="85"/>
      <c r="D7" s="86"/>
      <c r="E7" s="86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4.25" customHeight="1" spans="1:26">
      <c r="A8" s="84"/>
      <c r="B8" s="84"/>
      <c r="C8" s="85"/>
      <c r="D8" s="86"/>
      <c r="E8" s="86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 spans="1:26">
      <c r="A9" s="84"/>
      <c r="B9" s="84"/>
      <c r="C9" s="85"/>
      <c r="D9" s="86"/>
      <c r="E9" s="86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 spans="1:26">
      <c r="A10" s="84"/>
      <c r="B10" s="84"/>
      <c r="C10" s="85"/>
      <c r="D10" s="86"/>
      <c r="E10" s="8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4.25" customHeight="1" spans="1:26">
      <c r="A11" s="84"/>
      <c r="B11" s="84"/>
      <c r="C11" s="85"/>
      <c r="D11" s="86"/>
      <c r="E11" s="86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4.25" customHeight="1" spans="1:26">
      <c r="A12" s="84"/>
      <c r="B12" s="84"/>
      <c r="C12" s="85"/>
      <c r="D12" s="86"/>
      <c r="E12" s="86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4.25" customHeight="1" spans="1:26">
      <c r="A13" s="84"/>
      <c r="B13" s="84"/>
      <c r="C13" s="85"/>
      <c r="D13" s="86"/>
      <c r="E13" s="86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4.25" customHeight="1" spans="1:26">
      <c r="A14" s="84"/>
      <c r="B14" s="84"/>
      <c r="C14" s="85"/>
      <c r="D14" s="86"/>
      <c r="E14" s="86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4.25" customHeight="1" spans="1:26">
      <c r="A15" s="84"/>
      <c r="B15" s="84"/>
      <c r="C15" s="85"/>
      <c r="D15" s="86"/>
      <c r="E15" s="86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4.25" customHeight="1" spans="1:26">
      <c r="A16" s="84"/>
      <c r="B16" s="84"/>
      <c r="C16" s="85"/>
      <c r="D16" s="86"/>
      <c r="E16" s="86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4.25" customHeight="1" spans="1:26">
      <c r="A17" s="84"/>
      <c r="B17" s="84"/>
      <c r="C17" s="85"/>
      <c r="D17" s="86"/>
      <c r="E17" s="86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2.75" customHeight="1" spans="1:26">
      <c r="A18" s="84"/>
      <c r="B18" s="84"/>
      <c r="C18" s="85"/>
      <c r="D18" s="86"/>
      <c r="E18" s="86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4.25" customHeight="1" spans="1:26">
      <c r="A19" s="84"/>
      <c r="B19" s="84"/>
      <c r="C19" s="85"/>
      <c r="D19" s="86"/>
      <c r="E19" s="86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4.25" customHeight="1" spans="1:26">
      <c r="A20" s="84"/>
      <c r="B20" s="84"/>
      <c r="C20" s="85"/>
      <c r="D20" s="86"/>
      <c r="E20" s="86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4.25" customHeight="1" spans="1:26">
      <c r="A21" s="84"/>
      <c r="B21" s="84"/>
      <c r="C21" s="85"/>
      <c r="D21" s="86"/>
      <c r="E21" s="86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4.25" customHeight="1" spans="1:26">
      <c r="A22" s="84"/>
      <c r="B22" s="84"/>
      <c r="C22" s="85"/>
      <c r="D22" s="86"/>
      <c r="E22" s="86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4.25" customHeight="1" spans="1:26">
      <c r="A23" s="84"/>
      <c r="B23" s="84"/>
      <c r="C23" s="85"/>
      <c r="D23" s="86"/>
      <c r="E23" s="86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4.25" customHeight="1" spans="1:26">
      <c r="A24" s="84"/>
      <c r="B24" s="84"/>
      <c r="C24" s="85"/>
      <c r="D24" s="86"/>
      <c r="E24" s="86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4.25" customHeight="1" spans="1:26">
      <c r="A25" s="84"/>
      <c r="B25" s="84"/>
      <c r="C25" s="85"/>
      <c r="D25" s="86"/>
      <c r="E25" s="86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4.25" customHeight="1" spans="1:26">
      <c r="A26" s="84"/>
      <c r="B26" s="84"/>
      <c r="C26" s="85"/>
      <c r="D26" s="86"/>
      <c r="E26" s="86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4.25" customHeight="1" spans="1:26">
      <c r="A27" s="84"/>
      <c r="B27" s="84"/>
      <c r="C27" s="85"/>
      <c r="D27" s="86"/>
      <c r="E27" s="86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4.25" customHeight="1" spans="1:26">
      <c r="A28" s="84"/>
      <c r="B28" s="84"/>
      <c r="C28" s="85"/>
      <c r="D28" s="86"/>
      <c r="E28" s="86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4.25" customHeight="1" spans="1:26">
      <c r="A29" s="84"/>
      <c r="B29" s="84"/>
      <c r="C29" s="85"/>
      <c r="D29" s="86"/>
      <c r="E29" s="86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4.25" customHeight="1" spans="1:26">
      <c r="A30" s="84"/>
      <c r="B30" s="84"/>
      <c r="C30" s="85"/>
      <c r="D30" s="86"/>
      <c r="E30" s="86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4.25" customHeight="1" spans="1:26">
      <c r="A31" s="84"/>
      <c r="B31" s="84"/>
      <c r="C31" s="85"/>
      <c r="D31" s="86"/>
      <c r="E31" s="86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4.25" customHeight="1" spans="1:26">
      <c r="A32" s="84"/>
      <c r="B32" s="84"/>
      <c r="C32" s="85"/>
      <c r="D32" s="86"/>
      <c r="E32" s="86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4.25" customHeight="1" spans="1:26">
      <c r="A33" s="84"/>
      <c r="B33" s="84"/>
      <c r="C33" s="85"/>
      <c r="D33" s="86"/>
      <c r="E33" s="86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4.25" customHeight="1" spans="1:26">
      <c r="A34" s="84"/>
      <c r="B34" s="84"/>
      <c r="C34" s="85"/>
      <c r="D34" s="86"/>
      <c r="E34" s="86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4.25" customHeight="1" spans="1:26">
      <c r="A35" s="84"/>
      <c r="B35" s="84"/>
      <c r="C35" s="85"/>
      <c r="D35" s="86"/>
      <c r="E35" s="86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4.25" customHeight="1" spans="1:26">
      <c r="A36" s="84"/>
      <c r="B36" s="84"/>
      <c r="C36" s="85"/>
      <c r="D36" s="86"/>
      <c r="E36" s="86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4.25" customHeight="1" spans="1:26">
      <c r="A37" s="84"/>
      <c r="B37" s="84"/>
      <c r="C37" s="85"/>
      <c r="D37" s="86"/>
      <c r="E37" s="86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4.25" customHeight="1" spans="1:26">
      <c r="A38" s="84"/>
      <c r="B38" s="84"/>
      <c r="C38" s="85"/>
      <c r="D38" s="86"/>
      <c r="E38" s="86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4.25" customHeight="1" spans="1:26">
      <c r="A39" s="84"/>
      <c r="B39" s="84"/>
      <c r="C39" s="85"/>
      <c r="D39" s="86"/>
      <c r="E39" s="86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4.25" customHeight="1" spans="1:26">
      <c r="A40" s="84"/>
      <c r="B40" s="84"/>
      <c r="C40" s="85"/>
      <c r="D40" s="86"/>
      <c r="E40" s="86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4.25" customHeight="1" spans="1:26">
      <c r="A41" s="84"/>
      <c r="B41" s="84"/>
      <c r="C41" s="85"/>
      <c r="D41" s="86"/>
      <c r="E41" s="86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4.25" customHeight="1" spans="1:26">
      <c r="A42" s="84"/>
      <c r="B42" s="84"/>
      <c r="C42" s="85"/>
      <c r="D42" s="86"/>
      <c r="E42" s="86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4.25" customHeight="1" spans="1:26">
      <c r="A43" s="84"/>
      <c r="B43" s="84"/>
      <c r="C43" s="85"/>
      <c r="D43" s="86"/>
      <c r="E43" s="86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4.25" customHeight="1" spans="1:26">
      <c r="A44" s="84"/>
      <c r="B44" s="84"/>
      <c r="C44" s="85"/>
      <c r="D44" s="86"/>
      <c r="E44" s="86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4.25" customHeight="1" spans="1:26">
      <c r="A45" s="84"/>
      <c r="B45" s="84"/>
      <c r="C45" s="85"/>
      <c r="D45" s="86"/>
      <c r="E45" s="86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4.25" customHeight="1" spans="1:26">
      <c r="A46" s="84"/>
      <c r="B46" s="84"/>
      <c r="C46" s="85"/>
      <c r="D46" s="86"/>
      <c r="E46" s="86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2.75" customHeight="1" spans="1:26">
      <c r="A47" s="84"/>
      <c r="B47" s="84"/>
      <c r="C47" s="85"/>
      <c r="D47" s="86"/>
      <c r="E47" s="86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2.75" customHeight="1" spans="1:26">
      <c r="A48" s="84"/>
      <c r="B48" s="84"/>
      <c r="C48" s="85"/>
      <c r="D48" s="86"/>
      <c r="E48" s="86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2.75" customHeight="1" spans="1:26">
      <c r="A49" s="84"/>
      <c r="B49" s="84"/>
      <c r="C49" s="85"/>
      <c r="D49" s="86"/>
      <c r="E49" s="86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2.75" customHeight="1" spans="1:26">
      <c r="A50" s="84"/>
      <c r="B50" s="84"/>
      <c r="C50" s="85"/>
      <c r="D50" s="86"/>
      <c r="E50" s="86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2.75" customHeight="1" spans="1:26">
      <c r="A51" s="84"/>
      <c r="B51" s="84"/>
      <c r="C51" s="85"/>
      <c r="D51" s="86"/>
      <c r="E51" s="86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2.75" customHeight="1" spans="1:26">
      <c r="A52" s="87"/>
      <c r="B52" s="87"/>
      <c r="C52" s="88"/>
      <c r="D52" s="89"/>
      <c r="E52" s="8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2.75" customHeight="1" spans="1:26">
      <c r="A53" s="90"/>
      <c r="B53" s="90"/>
      <c r="C53" s="91"/>
      <c r="D53" s="92"/>
      <c r="E53" s="92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2.75" customHeight="1" spans="1:26">
      <c r="A54" s="90"/>
      <c r="B54" s="90"/>
      <c r="C54" s="91"/>
      <c r="D54" s="92"/>
      <c r="E54" s="92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2.75" customHeight="1" spans="1:26">
      <c r="A55" s="90"/>
      <c r="B55" s="90"/>
      <c r="C55" s="91"/>
      <c r="D55" s="92"/>
      <c r="E55" s="92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2.75" customHeight="1" spans="1:26">
      <c r="A56" s="90"/>
      <c r="B56" s="90"/>
      <c r="C56" s="91"/>
      <c r="D56" s="92"/>
      <c r="E56" s="92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2.75" customHeight="1" spans="1:26">
      <c r="A57" s="90"/>
      <c r="B57" s="90"/>
      <c r="C57" s="91"/>
      <c r="D57" s="92"/>
      <c r="E57" s="92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2.75" customHeight="1" spans="1:26">
      <c r="A58" s="90"/>
      <c r="B58" s="90"/>
      <c r="C58" s="91"/>
      <c r="D58" s="92"/>
      <c r="E58" s="92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2.75" customHeight="1" spans="1:26">
      <c r="A59" s="90"/>
      <c r="B59" s="90"/>
      <c r="C59" s="91"/>
      <c r="D59" s="92"/>
      <c r="E59" s="92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2.75" customHeight="1" spans="1:26">
      <c r="A60" s="90"/>
      <c r="B60" s="90"/>
      <c r="C60" s="91"/>
      <c r="D60" s="92"/>
      <c r="E60" s="92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2.75" customHeight="1" spans="1:26">
      <c r="A61" s="90"/>
      <c r="B61" s="90"/>
      <c r="C61" s="91"/>
      <c r="D61" s="92"/>
      <c r="E61" s="92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2.75" customHeight="1" spans="1:26">
      <c r="A62" s="90"/>
      <c r="B62" s="90"/>
      <c r="C62" s="91"/>
      <c r="D62" s="92"/>
      <c r="E62" s="92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2.75" customHeight="1" spans="1:26">
      <c r="A63" s="90"/>
      <c r="B63" s="90"/>
      <c r="C63" s="91"/>
      <c r="D63" s="92"/>
      <c r="E63" s="92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2.75" customHeight="1" spans="1:26">
      <c r="A64" s="90"/>
      <c r="B64" s="90"/>
      <c r="C64" s="91"/>
      <c r="D64" s="92"/>
      <c r="E64" s="92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2.75" customHeight="1" spans="1:26">
      <c r="A65" s="90"/>
      <c r="B65" s="90"/>
      <c r="C65" s="91"/>
      <c r="D65" s="92"/>
      <c r="E65" s="92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2.75" customHeight="1" spans="1:26">
      <c r="A66" s="90"/>
      <c r="B66" s="90"/>
      <c r="C66" s="91"/>
      <c r="D66" s="92"/>
      <c r="E66" s="92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2.75" customHeight="1" spans="1:26">
      <c r="A67" s="90"/>
      <c r="B67" s="90"/>
      <c r="C67" s="91"/>
      <c r="D67" s="92"/>
      <c r="E67" s="92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2.75" customHeight="1" spans="1:26">
      <c r="A68" s="90"/>
      <c r="B68" s="90"/>
      <c r="C68" s="91"/>
      <c r="D68" s="92"/>
      <c r="E68" s="92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2.75" customHeight="1" spans="1:26">
      <c r="A69" s="90"/>
      <c r="B69" s="90"/>
      <c r="C69" s="91"/>
      <c r="D69" s="92"/>
      <c r="E69" s="92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2.75" customHeight="1" spans="1:26">
      <c r="A70" s="90"/>
      <c r="B70" s="90"/>
      <c r="C70" s="91"/>
      <c r="D70" s="92"/>
      <c r="E70" s="92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2.75" customHeight="1" spans="1:26">
      <c r="A71" s="90"/>
      <c r="B71" s="90"/>
      <c r="C71" s="91"/>
      <c r="D71" s="92"/>
      <c r="E71" s="92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2.75" customHeight="1" spans="1:26">
      <c r="A72" s="90"/>
      <c r="B72" s="90"/>
      <c r="C72" s="91"/>
      <c r="D72" s="92"/>
      <c r="E72" s="92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2.75" customHeight="1" spans="1:26">
      <c r="A73" s="90"/>
      <c r="B73" s="90"/>
      <c r="C73" s="91"/>
      <c r="D73" s="92"/>
      <c r="E73" s="92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2.75" customHeight="1" spans="1:26">
      <c r="A74" s="90"/>
      <c r="B74" s="90"/>
      <c r="C74" s="91"/>
      <c r="D74" s="92"/>
      <c r="E74" s="92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2.75" customHeight="1" spans="1:26">
      <c r="A75" s="90"/>
      <c r="B75" s="90"/>
      <c r="C75" s="91"/>
      <c r="D75" s="92"/>
      <c r="E75" s="92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2.75" customHeight="1" spans="1:26">
      <c r="A76" s="90"/>
      <c r="B76" s="90"/>
      <c r="C76" s="91"/>
      <c r="D76" s="92"/>
      <c r="E76" s="92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2.75" customHeight="1" spans="1:26">
      <c r="A77" s="90"/>
      <c r="B77" s="90"/>
      <c r="C77" s="91"/>
      <c r="D77" s="92"/>
      <c r="E77" s="92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2.75" customHeight="1" spans="1:26">
      <c r="A78" s="90"/>
      <c r="B78" s="90"/>
      <c r="C78" s="91"/>
      <c r="D78" s="92"/>
      <c r="E78" s="92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2.75" customHeight="1" spans="1:26">
      <c r="A79" s="90"/>
      <c r="B79" s="90"/>
      <c r="C79" s="91"/>
      <c r="D79" s="92"/>
      <c r="E79" s="92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2.75" customHeight="1" spans="1:26">
      <c r="A80" s="90"/>
      <c r="B80" s="90"/>
      <c r="C80" s="91"/>
      <c r="D80" s="92"/>
      <c r="E80" s="92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2.75" customHeight="1" spans="1:26">
      <c r="A81" s="90"/>
      <c r="B81" s="90"/>
      <c r="C81" s="91"/>
      <c r="D81" s="92"/>
      <c r="E81" s="92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2.75" customHeight="1" spans="1:26">
      <c r="A82" s="90"/>
      <c r="B82" s="90"/>
      <c r="C82" s="91"/>
      <c r="D82" s="92"/>
      <c r="E82" s="92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2.75" customHeight="1" spans="1:26">
      <c r="A83" s="95"/>
      <c r="B83" s="95"/>
      <c r="C83" s="96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2.75" customHeight="1" spans="1:26">
      <c r="A84" s="95"/>
      <c r="B84" s="95"/>
      <c r="C84" s="96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2.75" customHeight="1" spans="1:26">
      <c r="A85" s="95"/>
      <c r="B85" s="95"/>
      <c r="C85" s="96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2.75" customHeight="1" spans="1:26">
      <c r="A86" s="95"/>
      <c r="B86" s="95"/>
      <c r="C86" s="96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2.75" customHeight="1" spans="1:26">
      <c r="A87" s="95"/>
      <c r="B87" s="95"/>
      <c r="C87" s="96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2.75" customHeight="1" spans="1:26">
      <c r="A88" s="95"/>
      <c r="B88" s="95"/>
      <c r="C88" s="96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2.75" customHeight="1" spans="1:26">
      <c r="A89" s="95"/>
      <c r="B89" s="95"/>
      <c r="C89" s="96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2.75" customHeight="1" spans="1:26">
      <c r="A90" s="95"/>
      <c r="B90" s="95"/>
      <c r="C90" s="96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2.75" customHeight="1" spans="1:26">
      <c r="A91" s="95"/>
      <c r="B91" s="95"/>
      <c r="C91" s="96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2.75" customHeight="1" spans="1:26">
      <c r="A92" s="95"/>
      <c r="B92" s="95"/>
      <c r="C92" s="96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2.75" customHeight="1" spans="1:26">
      <c r="A93" s="95"/>
      <c r="B93" s="95"/>
      <c r="C93" s="96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2.75" customHeight="1" spans="1:26">
      <c r="A94" s="95"/>
      <c r="B94" s="95"/>
      <c r="C94" s="96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2.75" customHeight="1" spans="1:26">
      <c r="A95" s="95"/>
      <c r="B95" s="95"/>
      <c r="C95" s="96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2.75" customHeight="1" spans="1:26">
      <c r="A96" s="95"/>
      <c r="B96" s="95"/>
      <c r="C96" s="96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2.75" customHeight="1" spans="1:26">
      <c r="A97" s="95"/>
      <c r="B97" s="95"/>
      <c r="C97" s="96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2.75" customHeight="1" spans="1:26">
      <c r="A98" s="95"/>
      <c r="B98" s="95"/>
      <c r="C98" s="96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2.75" customHeight="1" spans="1:26">
      <c r="A99" s="95"/>
      <c r="B99" s="95"/>
      <c r="C99" s="96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2.75" customHeight="1" spans="1:26">
      <c r="A100" s="95"/>
      <c r="B100" s="95"/>
      <c r="C100" s="96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2.75" customHeight="1" spans="1:26">
      <c r="A101" s="95"/>
      <c r="B101" s="95"/>
      <c r="C101" s="96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2.75" customHeight="1" spans="1:26">
      <c r="A102" s="95"/>
      <c r="B102" s="95"/>
      <c r="C102" s="96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2.75" customHeight="1" spans="1:26">
      <c r="A103" s="95"/>
      <c r="B103" s="95"/>
      <c r="C103" s="96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2.75" customHeight="1" spans="1:26">
      <c r="A104" s="95"/>
      <c r="B104" s="95"/>
      <c r="C104" s="96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2.75" customHeight="1" spans="1:26">
      <c r="A105" s="95"/>
      <c r="B105" s="95"/>
      <c r="C105" s="96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2.75" customHeight="1" spans="1:26">
      <c r="A106" s="95"/>
      <c r="B106" s="95"/>
      <c r="C106" s="96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2.75" customHeight="1" spans="1:26">
      <c r="A107" s="95"/>
      <c r="B107" s="95"/>
      <c r="C107" s="96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2.75" customHeight="1" spans="1:26">
      <c r="A108" s="95"/>
      <c r="B108" s="95"/>
      <c r="C108" s="96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2.75" customHeight="1" spans="1:26">
      <c r="A109" s="95"/>
      <c r="B109" s="95"/>
      <c r="C109" s="96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2.75" customHeight="1" spans="1:26">
      <c r="A110" s="95"/>
      <c r="B110" s="95"/>
      <c r="C110" s="96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2.75" customHeight="1" spans="1:26">
      <c r="A111" s="95"/>
      <c r="B111" s="95"/>
      <c r="C111" s="96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2.75" customHeight="1" spans="1:26">
      <c r="A112" s="95"/>
      <c r="B112" s="95"/>
      <c r="C112" s="96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2.75" customHeight="1" spans="1:26">
      <c r="A113" s="95"/>
      <c r="B113" s="95"/>
      <c r="C113" s="96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2.75" customHeight="1" spans="1:26">
      <c r="A114" s="95"/>
      <c r="B114" s="95"/>
      <c r="C114" s="96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2.75" customHeight="1" spans="1:26">
      <c r="A115" s="95"/>
      <c r="B115" s="95"/>
      <c r="C115" s="96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2.75" customHeight="1" spans="1:26">
      <c r="A116" s="95"/>
      <c r="B116" s="95"/>
      <c r="C116" s="96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2.75" customHeight="1" spans="1:26">
      <c r="A117" s="95"/>
      <c r="B117" s="95"/>
      <c r="C117" s="96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2.75" customHeight="1" spans="1:26">
      <c r="A118" s="95"/>
      <c r="B118" s="95"/>
      <c r="C118" s="96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2.75" customHeight="1" spans="1:26">
      <c r="A119" s="95"/>
      <c r="B119" s="95"/>
      <c r="C119" s="96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2.75" customHeight="1" spans="1:26">
      <c r="A120" s="95"/>
      <c r="B120" s="95"/>
      <c r="C120" s="96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2.75" customHeight="1" spans="1:26">
      <c r="A121" s="95"/>
      <c r="B121" s="95"/>
      <c r="C121" s="96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2.75" customHeight="1" spans="1:26">
      <c r="A122" s="95"/>
      <c r="B122" s="95"/>
      <c r="C122" s="96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2.75" customHeight="1" spans="1:26">
      <c r="A123" s="95"/>
      <c r="B123" s="95"/>
      <c r="C123" s="96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2.75" customHeight="1" spans="1:26">
      <c r="A124" s="95"/>
      <c r="B124" s="95"/>
      <c r="C124" s="96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2.75" customHeight="1" spans="1:26">
      <c r="A125" s="95"/>
      <c r="B125" s="95"/>
      <c r="C125" s="96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2.75" customHeight="1" spans="1:26">
      <c r="A126" s="95"/>
      <c r="B126" s="95"/>
      <c r="C126" s="96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2.75" customHeight="1" spans="1:26">
      <c r="A127" s="95"/>
      <c r="B127" s="95"/>
      <c r="C127" s="96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2.75" customHeight="1" spans="1:26">
      <c r="A128" s="95"/>
      <c r="B128" s="95"/>
      <c r="C128" s="96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2.75" customHeight="1" spans="1:26">
      <c r="A129" s="95"/>
      <c r="B129" s="95"/>
      <c r="C129" s="96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2.75" customHeight="1" spans="1:26">
      <c r="A130" s="95"/>
      <c r="B130" s="95"/>
      <c r="C130" s="96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2.75" customHeight="1" spans="1:26">
      <c r="A131" s="95"/>
      <c r="B131" s="95"/>
      <c r="C131" s="96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2.75" customHeight="1" spans="1:26">
      <c r="A132" s="95"/>
      <c r="B132" s="95"/>
      <c r="C132" s="96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2.75" customHeight="1" spans="1:26">
      <c r="A133" s="95"/>
      <c r="B133" s="95"/>
      <c r="C133" s="96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2.75" customHeight="1" spans="1:26">
      <c r="A134" s="95"/>
      <c r="B134" s="95"/>
      <c r="C134" s="96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2.75" customHeight="1" spans="1:26">
      <c r="A135" s="95"/>
      <c r="B135" s="95"/>
      <c r="C135" s="96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2.75" customHeight="1" spans="1:26">
      <c r="A136" s="95"/>
      <c r="B136" s="95"/>
      <c r="C136" s="96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2.75" customHeight="1" spans="1:26">
      <c r="A137" s="95"/>
      <c r="B137" s="95"/>
      <c r="C137" s="96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2.75" customHeight="1" spans="1:26">
      <c r="A138" s="95"/>
      <c r="B138" s="95"/>
      <c r="C138" s="96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2.75" customHeight="1" spans="1:26">
      <c r="A139" s="95"/>
      <c r="B139" s="95"/>
      <c r="C139" s="96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2.75" customHeight="1" spans="1:26">
      <c r="A140" s="95"/>
      <c r="B140" s="95"/>
      <c r="C140" s="96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2.75" customHeight="1" spans="1:26">
      <c r="A141" s="95"/>
      <c r="B141" s="95"/>
      <c r="C141" s="96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2.75" customHeight="1" spans="1:26">
      <c r="A142" s="95"/>
      <c r="B142" s="95"/>
      <c r="C142" s="96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2.75" customHeight="1" spans="1:26">
      <c r="A143" s="95"/>
      <c r="B143" s="95"/>
      <c r="C143" s="96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2.75" customHeight="1" spans="1:26">
      <c r="A144" s="95"/>
      <c r="B144" s="95"/>
      <c r="C144" s="96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2.75" customHeight="1" spans="1:26">
      <c r="A145" s="95"/>
      <c r="B145" s="95"/>
      <c r="C145" s="96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2.75" customHeight="1" spans="1:26">
      <c r="A146" s="95"/>
      <c r="B146" s="95"/>
      <c r="C146" s="96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2.75" customHeight="1" spans="1:26">
      <c r="A147" s="95"/>
      <c r="B147" s="95"/>
      <c r="C147" s="96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2.75" customHeight="1" spans="1:26">
      <c r="A148" s="95"/>
      <c r="B148" s="95"/>
      <c r="C148" s="96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2.75" customHeight="1" spans="1:26">
      <c r="A149" s="95"/>
      <c r="B149" s="95"/>
      <c r="C149" s="96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2.75" customHeight="1" spans="1:26">
      <c r="A150" s="95"/>
      <c r="B150" s="95"/>
      <c r="C150" s="96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2.75" customHeight="1" spans="1:26">
      <c r="A151" s="95"/>
      <c r="B151" s="95"/>
      <c r="C151" s="96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2.75" customHeight="1" spans="1:26">
      <c r="A152" s="95"/>
      <c r="B152" s="95"/>
      <c r="C152" s="96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2.75" customHeight="1" spans="1:26">
      <c r="A153" s="95"/>
      <c r="B153" s="95"/>
      <c r="C153" s="96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2.75" customHeight="1" spans="1:26">
      <c r="A154" s="95"/>
      <c r="B154" s="95"/>
      <c r="C154" s="96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2.75" customHeight="1" spans="1:26">
      <c r="A155" s="95"/>
      <c r="B155" s="95"/>
      <c r="C155" s="96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2.75" customHeight="1" spans="1:26">
      <c r="A156" s="95"/>
      <c r="B156" s="95"/>
      <c r="C156" s="96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2.75" customHeight="1" spans="1:26">
      <c r="A157" s="95"/>
      <c r="B157" s="95"/>
      <c r="C157" s="96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2.75" customHeight="1" spans="1:26">
      <c r="A158" s="95"/>
      <c r="B158" s="95"/>
      <c r="C158" s="96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2.75" customHeight="1" spans="1:26">
      <c r="A159" s="95"/>
      <c r="B159" s="95"/>
      <c r="C159" s="96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2.75" customHeight="1" spans="1:26">
      <c r="A160" s="95"/>
      <c r="B160" s="95"/>
      <c r="C160" s="96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2.75" customHeight="1" spans="1:26">
      <c r="A161" s="95"/>
      <c r="B161" s="95"/>
      <c r="C161" s="96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2.75" customHeight="1" spans="1:26">
      <c r="A162" s="95"/>
      <c r="B162" s="95"/>
      <c r="C162" s="96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2.75" customHeight="1" spans="1:26">
      <c r="A163" s="95"/>
      <c r="B163" s="95"/>
      <c r="C163" s="96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2.75" customHeight="1" spans="1:26">
      <c r="A164" s="95"/>
      <c r="B164" s="95"/>
      <c r="C164" s="96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2.75" customHeight="1" spans="1:26">
      <c r="A165" s="95"/>
      <c r="B165" s="95"/>
      <c r="C165" s="96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2.75" customHeight="1" spans="1:26">
      <c r="A166" s="95"/>
      <c r="B166" s="95"/>
      <c r="C166" s="96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2.75" customHeight="1" spans="1:26">
      <c r="A167" s="95"/>
      <c r="B167" s="95"/>
      <c r="C167" s="96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2.75" customHeight="1" spans="1:26">
      <c r="A168" s="95"/>
      <c r="B168" s="95"/>
      <c r="C168" s="96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2.75" customHeight="1" spans="1:26">
      <c r="A169" s="95"/>
      <c r="B169" s="95"/>
      <c r="C169" s="96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2.75" customHeight="1" spans="1:26">
      <c r="A170" s="95"/>
      <c r="B170" s="95"/>
      <c r="C170" s="96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2.75" customHeight="1" spans="1:26">
      <c r="A171" s="95"/>
      <c r="B171" s="95"/>
      <c r="C171" s="96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2.75" customHeight="1" spans="1:26">
      <c r="A172" s="95"/>
      <c r="B172" s="95"/>
      <c r="C172" s="96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2.75" customHeight="1" spans="1:26">
      <c r="A173" s="95"/>
      <c r="B173" s="95"/>
      <c r="C173" s="96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2.75" customHeight="1" spans="1:26">
      <c r="A174" s="95"/>
      <c r="B174" s="95"/>
      <c r="C174" s="96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2.75" customHeight="1" spans="1:26">
      <c r="A175" s="95"/>
      <c r="B175" s="95"/>
      <c r="C175" s="96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2.75" customHeight="1" spans="1:26">
      <c r="A176" s="95"/>
      <c r="B176" s="95"/>
      <c r="C176" s="96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2.75" customHeight="1" spans="1:26">
      <c r="A177" s="95"/>
      <c r="B177" s="95"/>
      <c r="C177" s="96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2.75" customHeight="1" spans="1:26">
      <c r="A178" s="95"/>
      <c r="B178" s="95"/>
      <c r="C178" s="96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2.75" customHeight="1" spans="1:26">
      <c r="A179" s="95"/>
      <c r="B179" s="95"/>
      <c r="C179" s="96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2.75" customHeight="1" spans="1:26">
      <c r="A180" s="95"/>
      <c r="B180" s="95"/>
      <c r="C180" s="96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2.75" customHeight="1" spans="1:26">
      <c r="A181" s="95"/>
      <c r="B181" s="95"/>
      <c r="C181" s="96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2.75" customHeight="1" spans="1:26">
      <c r="A182" s="95"/>
      <c r="B182" s="95"/>
      <c r="C182" s="96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2.75" customHeight="1" spans="1:26">
      <c r="A183" s="95"/>
      <c r="B183" s="95"/>
      <c r="C183" s="96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2.75" customHeight="1" spans="1:26">
      <c r="A184" s="95"/>
      <c r="B184" s="95"/>
      <c r="C184" s="96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2.75" customHeight="1" spans="1:26">
      <c r="A185" s="95"/>
      <c r="B185" s="95"/>
      <c r="C185" s="96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2.75" customHeight="1" spans="1:26">
      <c r="A186" s="95"/>
      <c r="B186" s="95"/>
      <c r="C186" s="96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2.75" customHeight="1" spans="1:26">
      <c r="A187" s="95"/>
      <c r="B187" s="95"/>
      <c r="C187" s="96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2.75" customHeight="1" spans="1:26">
      <c r="A188" s="95"/>
      <c r="B188" s="95"/>
      <c r="C188" s="96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2.75" customHeight="1" spans="1:26">
      <c r="A189" s="95"/>
      <c r="B189" s="95"/>
      <c r="C189" s="96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2.75" customHeight="1" spans="1:26">
      <c r="A190" s="95"/>
      <c r="B190" s="95"/>
      <c r="C190" s="96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2.75" customHeight="1" spans="1:26">
      <c r="A191" s="95"/>
      <c r="B191" s="95"/>
      <c r="C191" s="96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2.75" customHeight="1" spans="1:26">
      <c r="A192" s="95"/>
      <c r="B192" s="95"/>
      <c r="C192" s="96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2.75" customHeight="1" spans="1:26">
      <c r="A193" s="95"/>
      <c r="B193" s="95"/>
      <c r="C193" s="96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2.75" customHeight="1" spans="1:26">
      <c r="A194" s="95"/>
      <c r="B194" s="95"/>
      <c r="C194" s="96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2.75" customHeight="1" spans="1:26">
      <c r="A195" s="95"/>
      <c r="B195" s="95"/>
      <c r="C195" s="96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2.75" customHeight="1" spans="1:26">
      <c r="A196" s="95"/>
      <c r="B196" s="95"/>
      <c r="C196" s="96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2.75" customHeight="1" spans="1:26">
      <c r="A197" s="95"/>
      <c r="B197" s="95"/>
      <c r="C197" s="96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2.75" customHeight="1" spans="1:26">
      <c r="A198" s="95"/>
      <c r="B198" s="95"/>
      <c r="C198" s="96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2.75" customHeight="1" spans="1:26">
      <c r="A199" s="95"/>
      <c r="B199" s="95"/>
      <c r="C199" s="96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2.75" customHeight="1" spans="1:26">
      <c r="A200" s="95"/>
      <c r="B200" s="95"/>
      <c r="C200" s="96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2.75" customHeight="1" spans="1:26">
      <c r="A201" s="95"/>
      <c r="B201" s="95"/>
      <c r="C201" s="96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2.75" customHeight="1" spans="1:26">
      <c r="A202" s="95"/>
      <c r="B202" s="95"/>
      <c r="C202" s="96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2.75" customHeight="1" spans="1:26">
      <c r="A203" s="95"/>
      <c r="B203" s="95"/>
      <c r="C203" s="96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2.75" customHeight="1" spans="1:26">
      <c r="A204" s="95"/>
      <c r="B204" s="95"/>
      <c r="C204" s="96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2.75" customHeight="1" spans="1:26">
      <c r="A205" s="95"/>
      <c r="B205" s="95"/>
      <c r="C205" s="96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2.75" customHeight="1" spans="1:26">
      <c r="A206" s="95"/>
      <c r="B206" s="95"/>
      <c r="C206" s="96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2.75" customHeight="1" spans="1:26">
      <c r="A207" s="95"/>
      <c r="B207" s="95"/>
      <c r="C207" s="96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2.75" customHeight="1" spans="1:26">
      <c r="A208" s="95"/>
      <c r="B208" s="95"/>
      <c r="C208" s="96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2.75" customHeight="1" spans="1:26">
      <c r="A209" s="95"/>
      <c r="B209" s="95"/>
      <c r="C209" s="96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2.75" customHeight="1" spans="1:26">
      <c r="A210" s="95"/>
      <c r="B210" s="95"/>
      <c r="C210" s="96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2.75" customHeight="1" spans="1:26">
      <c r="A211" s="95"/>
      <c r="B211" s="95"/>
      <c r="C211" s="96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2.75" customHeight="1" spans="1:26">
      <c r="A212" s="95"/>
      <c r="B212" s="95"/>
      <c r="C212" s="96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2.75" customHeight="1" spans="1:26">
      <c r="A213" s="95"/>
      <c r="B213" s="95"/>
      <c r="C213" s="96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2.75" customHeight="1" spans="1:26">
      <c r="A214" s="95"/>
      <c r="B214" s="95"/>
      <c r="C214" s="96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2.75" customHeight="1" spans="1:26">
      <c r="A215" s="95"/>
      <c r="B215" s="95"/>
      <c r="C215" s="96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2.75" customHeight="1" spans="1:26">
      <c r="A216" s="95"/>
      <c r="B216" s="95"/>
      <c r="C216" s="96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2.75" customHeight="1" spans="1:26">
      <c r="A217" s="95"/>
      <c r="B217" s="95"/>
      <c r="C217" s="96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2.75" customHeight="1" spans="1:26">
      <c r="A218" s="95"/>
      <c r="B218" s="95"/>
      <c r="C218" s="96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2.75" customHeight="1" spans="1:26">
      <c r="A219" s="95"/>
      <c r="B219" s="95"/>
      <c r="C219" s="96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2.75" customHeight="1" spans="1:26">
      <c r="A220" s="95"/>
      <c r="B220" s="95"/>
      <c r="C220" s="96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2.75" customHeight="1" spans="1:26">
      <c r="A221" s="95"/>
      <c r="B221" s="95"/>
      <c r="C221" s="96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2.75" customHeight="1" spans="1:26">
      <c r="A222" s="95"/>
      <c r="B222" s="95"/>
      <c r="C222" s="96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2.75" customHeight="1" spans="1:26">
      <c r="A223" s="95"/>
      <c r="B223" s="95"/>
      <c r="C223" s="96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2.75" customHeight="1" spans="1:26">
      <c r="A224" s="95"/>
      <c r="B224" s="95"/>
      <c r="C224" s="96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2.75" customHeight="1" spans="1:26">
      <c r="A225" s="95"/>
      <c r="B225" s="95"/>
      <c r="C225" s="96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2.75" customHeight="1" spans="1:26">
      <c r="A226" s="95"/>
      <c r="B226" s="95"/>
      <c r="C226" s="96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2.75" customHeight="1" spans="1:26">
      <c r="A227" s="95"/>
      <c r="B227" s="95"/>
      <c r="C227" s="96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2.75" customHeight="1" spans="1:26">
      <c r="A228" s="95"/>
      <c r="B228" s="95"/>
      <c r="C228" s="96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2.75" customHeight="1" spans="1:26">
      <c r="A229" s="95"/>
      <c r="B229" s="95"/>
      <c r="C229" s="96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2.75" customHeight="1" spans="1:26">
      <c r="A230" s="95"/>
      <c r="B230" s="95"/>
      <c r="C230" s="96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2.75" customHeight="1" spans="1:26">
      <c r="A231" s="95"/>
      <c r="B231" s="95"/>
      <c r="C231" s="96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2.75" customHeight="1" spans="1:26">
      <c r="A232" s="95"/>
      <c r="B232" s="95"/>
      <c r="C232" s="96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2.75" customHeight="1" spans="1:26">
      <c r="A233" s="95"/>
      <c r="B233" s="95"/>
      <c r="C233" s="96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2.75" customHeight="1" spans="1:26">
      <c r="A234" s="95"/>
      <c r="B234" s="95"/>
      <c r="C234" s="96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2.75" customHeight="1" spans="1:26">
      <c r="A235" s="95"/>
      <c r="B235" s="95"/>
      <c r="C235" s="96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2.75" customHeight="1" spans="1:26">
      <c r="A236" s="95"/>
      <c r="B236" s="95"/>
      <c r="C236" s="96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2.75" customHeight="1" spans="1:26">
      <c r="A237" s="95"/>
      <c r="B237" s="95"/>
      <c r="C237" s="96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2.75" customHeight="1" spans="1:26">
      <c r="A238" s="95"/>
      <c r="B238" s="95"/>
      <c r="C238" s="96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2.75" customHeight="1" spans="1:26">
      <c r="A239" s="95"/>
      <c r="B239" s="95"/>
      <c r="C239" s="96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2.75" customHeight="1" spans="1:26">
      <c r="A240" s="95"/>
      <c r="B240" s="95"/>
      <c r="C240" s="96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2.75" customHeight="1" spans="1:26">
      <c r="A241" s="95"/>
      <c r="B241" s="95"/>
      <c r="C241" s="96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2.75" customHeight="1" spans="1:26">
      <c r="A242" s="95"/>
      <c r="B242" s="95"/>
      <c r="C242" s="96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2.75" customHeight="1" spans="1:26">
      <c r="A243" s="95"/>
      <c r="B243" s="95"/>
      <c r="C243" s="96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2.75" customHeight="1" spans="1:26">
      <c r="A244" s="95"/>
      <c r="B244" s="95"/>
      <c r="C244" s="96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2.75" customHeight="1" spans="1:26">
      <c r="A245" s="95"/>
      <c r="B245" s="95"/>
      <c r="C245" s="96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2.75" customHeight="1" spans="1:26">
      <c r="A246" s="95"/>
      <c r="B246" s="95"/>
      <c r="C246" s="96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2.75" customHeight="1" spans="1:26">
      <c r="A247" s="95"/>
      <c r="B247" s="95"/>
      <c r="C247" s="96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2.75" customHeight="1" spans="1:26">
      <c r="A248" s="95"/>
      <c r="B248" s="95"/>
      <c r="C248" s="96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2.75" customHeight="1" spans="1:26">
      <c r="A249" s="95"/>
      <c r="B249" s="95"/>
      <c r="C249" s="96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2.75" customHeight="1" spans="1:26">
      <c r="A250" s="95"/>
      <c r="B250" s="95"/>
      <c r="C250" s="96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2.75" customHeight="1" spans="1:26">
      <c r="A251" s="95"/>
      <c r="B251" s="95"/>
      <c r="C251" s="96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2.75" customHeight="1" spans="1:26">
      <c r="A252" s="95"/>
      <c r="B252" s="95"/>
      <c r="C252" s="96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2.75" customHeight="1" spans="1:26">
      <c r="A253" s="95"/>
      <c r="B253" s="95"/>
      <c r="C253" s="96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2.75" customHeight="1" spans="1:26">
      <c r="A254" s="95"/>
      <c r="B254" s="95"/>
      <c r="C254" s="96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2.75" customHeight="1" spans="1:26">
      <c r="A255" s="95"/>
      <c r="B255" s="95"/>
      <c r="C255" s="96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2.75" customHeight="1" spans="1:26">
      <c r="A256" s="95"/>
      <c r="B256" s="95"/>
      <c r="C256" s="96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2.75" customHeight="1" spans="1:26">
      <c r="A257" s="95"/>
      <c r="B257" s="95"/>
      <c r="C257" s="96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2.75" customHeight="1" spans="1:26">
      <c r="A258" s="95"/>
      <c r="B258" s="95"/>
      <c r="C258" s="96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2.75" customHeight="1" spans="1:26">
      <c r="A259" s="95"/>
      <c r="B259" s="95"/>
      <c r="C259" s="96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2.75" customHeight="1" spans="1:26">
      <c r="A260" s="95"/>
      <c r="B260" s="95"/>
      <c r="C260" s="96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2.75" customHeight="1" spans="1:26">
      <c r="A261" s="95"/>
      <c r="B261" s="95"/>
      <c r="C261" s="96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2.75" customHeight="1" spans="1:26">
      <c r="A262" s="95"/>
      <c r="B262" s="95"/>
      <c r="C262" s="96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2.75" customHeight="1" spans="1:26">
      <c r="A263" s="95"/>
      <c r="B263" s="95"/>
      <c r="C263" s="96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2.75" customHeight="1" spans="1:26">
      <c r="A264" s="95"/>
      <c r="B264" s="95"/>
      <c r="C264" s="96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2.75" customHeight="1" spans="1:26">
      <c r="A265" s="95"/>
      <c r="B265" s="95"/>
      <c r="C265" s="96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2.75" customHeight="1" spans="1:26">
      <c r="A266" s="95"/>
      <c r="B266" s="95"/>
      <c r="C266" s="96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2.75" customHeight="1" spans="1:26">
      <c r="A267" s="95"/>
      <c r="B267" s="95"/>
      <c r="C267" s="96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2.75" customHeight="1" spans="1:26">
      <c r="A268" s="95"/>
      <c r="B268" s="95"/>
      <c r="C268" s="96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2.75" customHeight="1" spans="1:26">
      <c r="A269" s="95"/>
      <c r="B269" s="95"/>
      <c r="C269" s="96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2.75" customHeight="1" spans="1:26">
      <c r="A270" s="95"/>
      <c r="B270" s="95"/>
      <c r="C270" s="96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2.75" customHeight="1" spans="1:26">
      <c r="A271" s="95"/>
      <c r="B271" s="95"/>
      <c r="C271" s="96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2.75" customHeight="1" spans="1:26">
      <c r="A272" s="95"/>
      <c r="B272" s="95"/>
      <c r="C272" s="96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2.75" customHeight="1" spans="1:26">
      <c r="A273" s="95"/>
      <c r="B273" s="95"/>
      <c r="C273" s="96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2.75" customHeight="1" spans="1:26">
      <c r="A274" s="95"/>
      <c r="B274" s="95"/>
      <c r="C274" s="96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2.75" customHeight="1" spans="1:26">
      <c r="A275" s="95"/>
      <c r="B275" s="95"/>
      <c r="C275" s="96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2.75" customHeight="1" spans="1:26">
      <c r="A276" s="95"/>
      <c r="B276" s="95"/>
      <c r="C276" s="96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2.75" customHeight="1" spans="1:26">
      <c r="A277" s="95"/>
      <c r="B277" s="95"/>
      <c r="C277" s="96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2.75" customHeight="1" spans="1:26">
      <c r="A278" s="95"/>
      <c r="B278" s="95"/>
      <c r="C278" s="96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2.75" customHeight="1" spans="1:26">
      <c r="A279" s="95"/>
      <c r="B279" s="95"/>
      <c r="C279" s="96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2.75" customHeight="1" spans="1:26">
      <c r="A280" s="95"/>
      <c r="B280" s="95"/>
      <c r="C280" s="96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2.75" customHeight="1" spans="1:26">
      <c r="A281" s="95"/>
      <c r="B281" s="95"/>
      <c r="C281" s="96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2.75" customHeight="1" spans="1:26">
      <c r="A282" s="95"/>
      <c r="B282" s="95"/>
      <c r="C282" s="96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2.75" customHeight="1" spans="1:26">
      <c r="A283" s="95"/>
      <c r="B283" s="95"/>
      <c r="C283" s="96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2.75" customHeight="1" spans="1:26">
      <c r="A284" s="95"/>
      <c r="B284" s="95"/>
      <c r="C284" s="96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2.75" customHeight="1" spans="1:26">
      <c r="A285" s="95"/>
      <c r="B285" s="95"/>
      <c r="C285" s="96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2.75" customHeight="1" spans="1:26">
      <c r="A286" s="95"/>
      <c r="B286" s="95"/>
      <c r="C286" s="96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2.75" customHeight="1" spans="1:26">
      <c r="A287" s="95"/>
      <c r="B287" s="95"/>
      <c r="C287" s="96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2.75" customHeight="1" spans="1:26">
      <c r="A288" s="95"/>
      <c r="B288" s="95"/>
      <c r="C288" s="96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2.75" customHeight="1" spans="1:26">
      <c r="A289" s="95"/>
      <c r="B289" s="95"/>
      <c r="C289" s="96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2.75" customHeight="1" spans="1:26">
      <c r="A290" s="95"/>
      <c r="B290" s="95"/>
      <c r="C290" s="96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2.75" customHeight="1" spans="1:26">
      <c r="A291" s="95"/>
      <c r="B291" s="95"/>
      <c r="C291" s="96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2.75" customHeight="1" spans="1:26">
      <c r="A292" s="95"/>
      <c r="B292" s="95"/>
      <c r="C292" s="96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2.75" customHeight="1" spans="1:26">
      <c r="A293" s="95"/>
      <c r="B293" s="95"/>
      <c r="C293" s="96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2.75" customHeight="1" spans="1:26">
      <c r="A294" s="95"/>
      <c r="B294" s="95"/>
      <c r="C294" s="96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2.75" customHeight="1" spans="1:26">
      <c r="A295" s="95"/>
      <c r="B295" s="95"/>
      <c r="C295" s="96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2.75" customHeight="1" spans="1:26">
      <c r="A296" s="95"/>
      <c r="B296" s="95"/>
      <c r="C296" s="96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2.75" customHeight="1" spans="1:26">
      <c r="A297" s="95"/>
      <c r="B297" s="95"/>
      <c r="C297" s="96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2.75" customHeight="1" spans="1:26">
      <c r="A298" s="95"/>
      <c r="B298" s="95"/>
      <c r="C298" s="96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2.75" customHeight="1" spans="1:26">
      <c r="A299" s="95"/>
      <c r="B299" s="95"/>
      <c r="C299" s="96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2.75" customHeight="1" spans="1:26">
      <c r="A300" s="95"/>
      <c r="B300" s="95"/>
      <c r="C300" s="96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2.75" customHeight="1" spans="1:26">
      <c r="A301" s="95"/>
      <c r="B301" s="95"/>
      <c r="C301" s="96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2.75" customHeight="1" spans="1:26">
      <c r="A302" s="95"/>
      <c r="B302" s="95"/>
      <c r="C302" s="96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2.75" customHeight="1" spans="1:26">
      <c r="A303" s="95"/>
      <c r="B303" s="95"/>
      <c r="C303" s="96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2.75" customHeight="1" spans="1:26">
      <c r="A304" s="95"/>
      <c r="B304" s="95"/>
      <c r="C304" s="96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2.75" customHeight="1" spans="1:26">
      <c r="A305" s="95"/>
      <c r="B305" s="95"/>
      <c r="C305" s="96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2.75" customHeight="1" spans="1:26">
      <c r="A306" s="95"/>
      <c r="B306" s="95"/>
      <c r="C306" s="96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2.75" customHeight="1" spans="1:26">
      <c r="A307" s="95"/>
      <c r="B307" s="95"/>
      <c r="C307" s="96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2.75" customHeight="1" spans="1:26">
      <c r="A308" s="95"/>
      <c r="B308" s="95"/>
      <c r="C308" s="96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2.75" customHeight="1" spans="1:26">
      <c r="A309" s="95"/>
      <c r="B309" s="95"/>
      <c r="C309" s="96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2.75" customHeight="1" spans="1:26">
      <c r="A310" s="95"/>
      <c r="B310" s="95"/>
      <c r="C310" s="96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2.75" customHeight="1" spans="1:26">
      <c r="A311" s="95"/>
      <c r="B311" s="95"/>
      <c r="C311" s="96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2.75" customHeight="1" spans="1:26">
      <c r="A312" s="95"/>
      <c r="B312" s="95"/>
      <c r="C312" s="96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2.75" customHeight="1" spans="1:26">
      <c r="A313" s="95"/>
      <c r="B313" s="95"/>
      <c r="C313" s="96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2.75" customHeight="1" spans="1:26">
      <c r="A314" s="95"/>
      <c r="B314" s="95"/>
      <c r="C314" s="96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2.75" customHeight="1" spans="1:26">
      <c r="A315" s="95"/>
      <c r="B315" s="95"/>
      <c r="C315" s="96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2.75" customHeight="1" spans="1:26">
      <c r="A316" s="95"/>
      <c r="B316" s="95"/>
      <c r="C316" s="96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2.75" customHeight="1" spans="1:26">
      <c r="A317" s="95"/>
      <c r="B317" s="95"/>
      <c r="C317" s="96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2.75" customHeight="1" spans="1:26">
      <c r="A318" s="95"/>
      <c r="B318" s="95"/>
      <c r="C318" s="96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2.75" customHeight="1" spans="1:26">
      <c r="A319" s="95"/>
      <c r="B319" s="95"/>
      <c r="C319" s="96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2.75" customHeight="1" spans="1:26">
      <c r="A320" s="95"/>
      <c r="B320" s="95"/>
      <c r="C320" s="96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2.75" customHeight="1" spans="1:26">
      <c r="A321" s="95"/>
      <c r="B321" s="95"/>
      <c r="C321" s="96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2.75" customHeight="1" spans="1:26">
      <c r="A322" s="95"/>
      <c r="B322" s="95"/>
      <c r="C322" s="96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2.75" customHeight="1" spans="1:26">
      <c r="A323" s="95"/>
      <c r="B323" s="95"/>
      <c r="C323" s="96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2.75" customHeight="1" spans="1:26">
      <c r="A324" s="95"/>
      <c r="B324" s="95"/>
      <c r="C324" s="96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2.75" customHeight="1" spans="1:26">
      <c r="A325" s="95"/>
      <c r="B325" s="95"/>
      <c r="C325" s="96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2.75" customHeight="1" spans="1:26">
      <c r="A326" s="95"/>
      <c r="B326" s="95"/>
      <c r="C326" s="96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2.75" customHeight="1" spans="1:26">
      <c r="A327" s="95"/>
      <c r="B327" s="95"/>
      <c r="C327" s="96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2.75" customHeight="1" spans="1:26">
      <c r="A328" s="95"/>
      <c r="B328" s="95"/>
      <c r="C328" s="96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2.75" customHeight="1" spans="1:26">
      <c r="A329" s="95"/>
      <c r="B329" s="95"/>
      <c r="C329" s="9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2.75" customHeight="1" spans="1:26">
      <c r="A330" s="95"/>
      <c r="B330" s="95"/>
      <c r="C330" s="96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2.75" customHeight="1" spans="1:26">
      <c r="A331" s="95"/>
      <c r="B331" s="95"/>
      <c r="C331" s="96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2.75" customHeight="1" spans="1:26">
      <c r="A332" s="95"/>
      <c r="B332" s="95"/>
      <c r="C332" s="96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2.75" customHeight="1" spans="1:26">
      <c r="A333" s="95"/>
      <c r="B333" s="95"/>
      <c r="C333" s="96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2.75" customHeight="1" spans="1:26">
      <c r="A334" s="95"/>
      <c r="B334" s="95"/>
      <c r="C334" s="96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2.75" customHeight="1" spans="1:26">
      <c r="A335" s="95"/>
      <c r="B335" s="95"/>
      <c r="C335" s="96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2.75" customHeight="1" spans="1:26">
      <c r="A336" s="95"/>
      <c r="B336" s="95"/>
      <c r="C336" s="96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2.75" customHeight="1" spans="1:26">
      <c r="A337" s="95"/>
      <c r="B337" s="95"/>
      <c r="C337" s="96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2.75" customHeight="1" spans="1:26">
      <c r="A338" s="95"/>
      <c r="B338" s="95"/>
      <c r="C338" s="96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2.75" customHeight="1" spans="1:26">
      <c r="A339" s="95"/>
      <c r="B339" s="95"/>
      <c r="C339" s="96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2.75" customHeight="1" spans="1:26">
      <c r="A340" s="95"/>
      <c r="B340" s="95"/>
      <c r="C340" s="96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2.75" customHeight="1" spans="1:26">
      <c r="A341" s="95"/>
      <c r="B341" s="95"/>
      <c r="C341" s="96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2.75" customHeight="1" spans="1:26">
      <c r="A342" s="95"/>
      <c r="B342" s="95"/>
      <c r="C342" s="96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2.75" customHeight="1" spans="1:26">
      <c r="A343" s="95"/>
      <c r="B343" s="95"/>
      <c r="C343" s="96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2.75" customHeight="1" spans="1:26">
      <c r="A344" s="95"/>
      <c r="B344" s="95"/>
      <c r="C344" s="96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2.75" customHeight="1" spans="1:26">
      <c r="A345" s="95"/>
      <c r="B345" s="95"/>
      <c r="C345" s="96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2.75" customHeight="1" spans="1:26">
      <c r="A346" s="95"/>
      <c r="B346" s="95"/>
      <c r="C346" s="96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2.75" customHeight="1" spans="1:26">
      <c r="A347" s="95"/>
      <c r="B347" s="95"/>
      <c r="C347" s="96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2.75" customHeight="1" spans="1:26">
      <c r="A348" s="95"/>
      <c r="B348" s="95"/>
      <c r="C348" s="96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2.75" customHeight="1" spans="1:26">
      <c r="A349" s="95"/>
      <c r="B349" s="95"/>
      <c r="C349" s="96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2.75" customHeight="1" spans="1:26">
      <c r="A350" s="95"/>
      <c r="B350" s="95"/>
      <c r="C350" s="96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2.75" customHeight="1" spans="1:26">
      <c r="A351" s="95"/>
      <c r="B351" s="95"/>
      <c r="C351" s="96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2.75" customHeight="1" spans="1:26">
      <c r="A352" s="95"/>
      <c r="B352" s="95"/>
      <c r="C352" s="96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2.75" customHeight="1" spans="1:26">
      <c r="A353" s="95"/>
      <c r="B353" s="95"/>
      <c r="C353" s="96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2.75" customHeight="1" spans="1:26">
      <c r="A354" s="95"/>
      <c r="B354" s="95"/>
      <c r="C354" s="96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2.75" customHeight="1" spans="1:26">
      <c r="A355" s="95"/>
      <c r="B355" s="95"/>
      <c r="C355" s="96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2.75" customHeight="1" spans="1:26">
      <c r="A356" s="95"/>
      <c r="B356" s="95"/>
      <c r="C356" s="96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2.75" customHeight="1" spans="1:26">
      <c r="A357" s="95"/>
      <c r="B357" s="95"/>
      <c r="C357" s="96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2.75" customHeight="1" spans="1:26">
      <c r="A358" s="95"/>
      <c r="B358" s="95"/>
      <c r="C358" s="96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2.75" customHeight="1" spans="1:26">
      <c r="A359" s="95"/>
      <c r="B359" s="95"/>
      <c r="C359" s="96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2.75" customHeight="1" spans="1:26">
      <c r="A360" s="95"/>
      <c r="B360" s="95"/>
      <c r="C360" s="96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2.75" customHeight="1" spans="1:26">
      <c r="A361" s="95"/>
      <c r="B361" s="95"/>
      <c r="C361" s="96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2.75" customHeight="1" spans="1:26">
      <c r="A362" s="95"/>
      <c r="B362" s="95"/>
      <c r="C362" s="96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2.75" customHeight="1" spans="1:26">
      <c r="A363" s="95"/>
      <c r="B363" s="95"/>
      <c r="C363" s="96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2.75" customHeight="1" spans="1:26">
      <c r="A364" s="95"/>
      <c r="B364" s="95"/>
      <c r="C364" s="96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2.75" customHeight="1" spans="1:26">
      <c r="A365" s="95"/>
      <c r="B365" s="95"/>
      <c r="C365" s="96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2.75" customHeight="1" spans="1:26">
      <c r="A366" s="95"/>
      <c r="B366" s="95"/>
      <c r="C366" s="96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2.75" customHeight="1" spans="1:26">
      <c r="A367" s="95"/>
      <c r="B367" s="95"/>
      <c r="C367" s="96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2.75" customHeight="1" spans="1:26">
      <c r="A368" s="95"/>
      <c r="B368" s="95"/>
      <c r="C368" s="96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2.75" customHeight="1" spans="1:26">
      <c r="A369" s="95"/>
      <c r="B369" s="95"/>
      <c r="C369" s="96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2.75" customHeight="1" spans="1:26">
      <c r="A370" s="95"/>
      <c r="B370" s="95"/>
      <c r="C370" s="96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2.75" customHeight="1" spans="1:26">
      <c r="A371" s="95"/>
      <c r="B371" s="95"/>
      <c r="C371" s="96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2.75" customHeight="1" spans="1:26">
      <c r="A372" s="95"/>
      <c r="B372" s="95"/>
      <c r="C372" s="96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2.75" customHeight="1" spans="1:26">
      <c r="A373" s="95"/>
      <c r="B373" s="95"/>
      <c r="C373" s="96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2.75" customHeight="1" spans="1:26">
      <c r="A374" s="95"/>
      <c r="B374" s="95"/>
      <c r="C374" s="96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2.75" customHeight="1" spans="1:26">
      <c r="A375" s="95"/>
      <c r="B375" s="95"/>
      <c r="C375" s="96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2.75" customHeight="1" spans="1:26">
      <c r="A376" s="95"/>
      <c r="B376" s="95"/>
      <c r="C376" s="96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2.75" customHeight="1" spans="1:26">
      <c r="A377" s="95"/>
      <c r="B377" s="95"/>
      <c r="C377" s="96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2.75" customHeight="1" spans="1:26">
      <c r="A378" s="95"/>
      <c r="B378" s="95"/>
      <c r="C378" s="96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2.75" customHeight="1" spans="1:26">
      <c r="A379" s="95"/>
      <c r="B379" s="95"/>
      <c r="C379" s="96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2.75" customHeight="1" spans="1:26">
      <c r="A380" s="95"/>
      <c r="B380" s="95"/>
      <c r="C380" s="96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2.75" customHeight="1" spans="1:26">
      <c r="A381" s="95"/>
      <c r="B381" s="95"/>
      <c r="C381" s="96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2.75" customHeight="1" spans="1:26">
      <c r="A382" s="95"/>
      <c r="B382" s="95"/>
      <c r="C382" s="96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2.75" customHeight="1" spans="1:26">
      <c r="A383" s="95"/>
      <c r="B383" s="95"/>
      <c r="C383" s="96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2.75" customHeight="1" spans="1:26">
      <c r="A384" s="95"/>
      <c r="B384" s="95"/>
      <c r="C384" s="96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2.75" customHeight="1" spans="1:26">
      <c r="A385" s="95"/>
      <c r="B385" s="95"/>
      <c r="C385" s="96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2.75" customHeight="1" spans="1:26">
      <c r="A386" s="95"/>
      <c r="B386" s="95"/>
      <c r="C386" s="96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2.75" customHeight="1" spans="1:26">
      <c r="A387" s="95"/>
      <c r="B387" s="95"/>
      <c r="C387" s="96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2.75" customHeight="1" spans="1:26">
      <c r="A388" s="95"/>
      <c r="B388" s="95"/>
      <c r="C388" s="96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2.75" customHeight="1" spans="1:26">
      <c r="A389" s="95"/>
      <c r="B389" s="95"/>
      <c r="C389" s="96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2.75" customHeight="1" spans="1:26">
      <c r="A390" s="95"/>
      <c r="B390" s="95"/>
      <c r="C390" s="96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2.75" customHeight="1" spans="1:26">
      <c r="A391" s="95"/>
      <c r="B391" s="95"/>
      <c r="C391" s="96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2.75" customHeight="1" spans="1:26">
      <c r="A392" s="95"/>
      <c r="B392" s="95"/>
      <c r="C392" s="96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2.75" customHeight="1" spans="1:26">
      <c r="A393" s="95"/>
      <c r="B393" s="95"/>
      <c r="C393" s="96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2.75" customHeight="1" spans="1:26">
      <c r="A394" s="95"/>
      <c r="B394" s="95"/>
      <c r="C394" s="96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2.75" customHeight="1" spans="1:26">
      <c r="A395" s="95"/>
      <c r="B395" s="95"/>
      <c r="C395" s="96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2.75" customHeight="1" spans="1:26">
      <c r="A396" s="95"/>
      <c r="B396" s="95"/>
      <c r="C396" s="96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2.75" customHeight="1" spans="1:26">
      <c r="A397" s="95"/>
      <c r="B397" s="95"/>
      <c r="C397" s="96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2.75" customHeight="1" spans="1:26">
      <c r="A398" s="95"/>
      <c r="B398" s="95"/>
      <c r="C398" s="96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2.75" customHeight="1" spans="1:26">
      <c r="A399" s="95"/>
      <c r="B399" s="95"/>
      <c r="C399" s="96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2.75" customHeight="1" spans="1:26">
      <c r="A400" s="95"/>
      <c r="B400" s="95"/>
      <c r="C400" s="96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2.75" customHeight="1" spans="1:26">
      <c r="A401" s="95"/>
      <c r="B401" s="95"/>
      <c r="C401" s="96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2.75" customHeight="1" spans="1:26">
      <c r="A402" s="95"/>
      <c r="B402" s="95"/>
      <c r="C402" s="96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2.75" customHeight="1" spans="1:26">
      <c r="A403" s="95"/>
      <c r="B403" s="95"/>
      <c r="C403" s="96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2.75" customHeight="1" spans="1:26">
      <c r="A404" s="95"/>
      <c r="B404" s="95"/>
      <c r="C404" s="96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2.75" customHeight="1" spans="1:26">
      <c r="A405" s="95"/>
      <c r="B405" s="95"/>
      <c r="C405" s="96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2.75" customHeight="1" spans="1:26">
      <c r="A406" s="95"/>
      <c r="B406" s="95"/>
      <c r="C406" s="96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2.75" customHeight="1" spans="1:26">
      <c r="A407" s="95"/>
      <c r="B407" s="95"/>
      <c r="C407" s="96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2.75" customHeight="1" spans="1:26">
      <c r="A408" s="95"/>
      <c r="B408" s="95"/>
      <c r="C408" s="96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2.75" customHeight="1" spans="1:26">
      <c r="A409" s="95"/>
      <c r="B409" s="95"/>
      <c r="C409" s="96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2.75" customHeight="1" spans="1:26">
      <c r="A410" s="95"/>
      <c r="B410" s="95"/>
      <c r="C410" s="96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2.75" customHeight="1" spans="1:26">
      <c r="A411" s="95"/>
      <c r="B411" s="95"/>
      <c r="C411" s="96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2.75" customHeight="1" spans="1:26">
      <c r="A412" s="95"/>
      <c r="B412" s="95"/>
      <c r="C412" s="96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2.75" customHeight="1" spans="1:26">
      <c r="A413" s="95"/>
      <c r="B413" s="95"/>
      <c r="C413" s="96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2.75" customHeight="1" spans="1:26">
      <c r="A414" s="95"/>
      <c r="B414" s="95"/>
      <c r="C414" s="96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2.75" customHeight="1" spans="1:26">
      <c r="A415" s="95"/>
      <c r="B415" s="95"/>
      <c r="C415" s="96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2.75" customHeight="1" spans="1:26">
      <c r="A416" s="95"/>
      <c r="B416" s="95"/>
      <c r="C416" s="96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2.75" customHeight="1" spans="1:26">
      <c r="A417" s="95"/>
      <c r="B417" s="95"/>
      <c r="C417" s="96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2.75" customHeight="1" spans="1:26">
      <c r="A418" s="95"/>
      <c r="B418" s="95"/>
      <c r="C418" s="96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2.75" customHeight="1" spans="1:26">
      <c r="A419" s="95"/>
      <c r="B419" s="95"/>
      <c r="C419" s="96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2.75" customHeight="1" spans="1:26">
      <c r="A420" s="95"/>
      <c r="B420" s="95"/>
      <c r="C420" s="96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2.75" customHeight="1" spans="1:26">
      <c r="A421" s="95"/>
      <c r="B421" s="95"/>
      <c r="C421" s="96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2.75" customHeight="1" spans="1:26">
      <c r="A422" s="95"/>
      <c r="B422" s="95"/>
      <c r="C422" s="96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2.75" customHeight="1" spans="1:26">
      <c r="A423" s="95"/>
      <c r="B423" s="95"/>
      <c r="C423" s="96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2.75" customHeight="1" spans="1:26">
      <c r="A424" s="95"/>
      <c r="B424" s="95"/>
      <c r="C424" s="96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2.75" customHeight="1" spans="1:26">
      <c r="A425" s="95"/>
      <c r="B425" s="95"/>
      <c r="C425" s="96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2.75" customHeight="1" spans="1:26">
      <c r="A426" s="95"/>
      <c r="B426" s="95"/>
      <c r="C426" s="96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2.75" customHeight="1" spans="1:26">
      <c r="A427" s="95"/>
      <c r="B427" s="95"/>
      <c r="C427" s="96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2.75" customHeight="1" spans="1:26">
      <c r="A428" s="95"/>
      <c r="B428" s="95"/>
      <c r="C428" s="96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2.75" customHeight="1" spans="1:26">
      <c r="A429" s="95"/>
      <c r="B429" s="95"/>
      <c r="C429" s="96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2.75" customHeight="1" spans="1:26">
      <c r="A430" s="95"/>
      <c r="B430" s="95"/>
      <c r="C430" s="96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2.75" customHeight="1" spans="1:26">
      <c r="A431" s="95"/>
      <c r="B431" s="95"/>
      <c r="C431" s="96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2.75" customHeight="1" spans="1:26">
      <c r="A432" s="95"/>
      <c r="B432" s="95"/>
      <c r="C432" s="96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2.75" customHeight="1" spans="1:26">
      <c r="A433" s="95"/>
      <c r="B433" s="95"/>
      <c r="C433" s="96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2.75" customHeight="1" spans="1:26">
      <c r="A434" s="95"/>
      <c r="B434" s="95"/>
      <c r="C434" s="96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2.75" customHeight="1" spans="1:26">
      <c r="A435" s="95"/>
      <c r="B435" s="95"/>
      <c r="C435" s="96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2.75" customHeight="1" spans="1:26">
      <c r="A436" s="95"/>
      <c r="B436" s="95"/>
      <c r="C436" s="96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2.75" customHeight="1" spans="1:26">
      <c r="A437" s="95"/>
      <c r="B437" s="95"/>
      <c r="C437" s="96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2.75" customHeight="1" spans="1:26">
      <c r="A438" s="95"/>
      <c r="B438" s="95"/>
      <c r="C438" s="96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2.75" customHeight="1" spans="1:26">
      <c r="A439" s="95"/>
      <c r="B439" s="95"/>
      <c r="C439" s="96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2.75" customHeight="1" spans="1:26">
      <c r="A440" s="95"/>
      <c r="B440" s="95"/>
      <c r="C440" s="96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2.75" customHeight="1" spans="1:26">
      <c r="A441" s="95"/>
      <c r="B441" s="95"/>
      <c r="C441" s="96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2.75" customHeight="1" spans="1:26">
      <c r="A442" s="95"/>
      <c r="B442" s="95"/>
      <c r="C442" s="96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2.75" customHeight="1" spans="1:26">
      <c r="A443" s="95"/>
      <c r="B443" s="95"/>
      <c r="C443" s="96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2.75" customHeight="1" spans="1:26">
      <c r="A444" s="95"/>
      <c r="B444" s="95"/>
      <c r="C444" s="96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2.75" customHeight="1" spans="1:26">
      <c r="A445" s="95"/>
      <c r="B445" s="95"/>
      <c r="C445" s="96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2.75" customHeight="1" spans="1:26">
      <c r="A446" s="95"/>
      <c r="B446" s="95"/>
      <c r="C446" s="96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2.75" customHeight="1" spans="1:26">
      <c r="A447" s="95"/>
      <c r="B447" s="95"/>
      <c r="C447" s="96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2.75" customHeight="1" spans="1:26">
      <c r="A448" s="95"/>
      <c r="B448" s="95"/>
      <c r="C448" s="96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2.75" customHeight="1" spans="1:26">
      <c r="A449" s="95"/>
      <c r="B449" s="95"/>
      <c r="C449" s="96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2.75" customHeight="1" spans="1:26">
      <c r="A450" s="95"/>
      <c r="B450" s="95"/>
      <c r="C450" s="96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2.75" customHeight="1" spans="1:26">
      <c r="A451" s="95"/>
      <c r="B451" s="95"/>
      <c r="C451" s="96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2.75" customHeight="1" spans="1:26">
      <c r="A452" s="95"/>
      <c r="B452" s="95"/>
      <c r="C452" s="96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2.75" customHeight="1" spans="1:26">
      <c r="A453" s="95"/>
      <c r="B453" s="95"/>
      <c r="C453" s="96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2.75" customHeight="1" spans="1:26">
      <c r="A454" s="95"/>
      <c r="B454" s="95"/>
      <c r="C454" s="96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2.75" customHeight="1" spans="1:26">
      <c r="A455" s="95"/>
      <c r="B455" s="95"/>
      <c r="C455" s="96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2.75" customHeight="1" spans="1:26">
      <c r="A456" s="95"/>
      <c r="B456" s="95"/>
      <c r="C456" s="96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2.75" customHeight="1" spans="1:26">
      <c r="A457" s="95"/>
      <c r="B457" s="95"/>
      <c r="C457" s="96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2.75" customHeight="1" spans="1:26">
      <c r="A458" s="95"/>
      <c r="B458" s="95"/>
      <c r="C458" s="96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2.75" customHeight="1" spans="1:26">
      <c r="A459" s="95"/>
      <c r="B459" s="95"/>
      <c r="C459" s="96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2.75" customHeight="1" spans="1:26">
      <c r="A460" s="95"/>
      <c r="B460" s="95"/>
      <c r="C460" s="96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2.75" customHeight="1" spans="1:26">
      <c r="A461" s="95"/>
      <c r="B461" s="95"/>
      <c r="C461" s="96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2.75" customHeight="1" spans="1:26">
      <c r="A462" s="95"/>
      <c r="B462" s="95"/>
      <c r="C462" s="96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2.75" customHeight="1" spans="1:26">
      <c r="A463" s="95"/>
      <c r="B463" s="95"/>
      <c r="C463" s="96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2.75" customHeight="1" spans="1:26">
      <c r="A464" s="95"/>
      <c r="B464" s="95"/>
      <c r="C464" s="96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2.75" customHeight="1" spans="1:26">
      <c r="A465" s="95"/>
      <c r="B465" s="95"/>
      <c r="C465" s="96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2.75" customHeight="1" spans="1:26">
      <c r="A466" s="95"/>
      <c r="B466" s="95"/>
      <c r="C466" s="96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2.75" customHeight="1" spans="1:26">
      <c r="A467" s="95"/>
      <c r="B467" s="95"/>
      <c r="C467" s="96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2.75" customHeight="1" spans="1:26">
      <c r="A468" s="95"/>
      <c r="B468" s="95"/>
      <c r="C468" s="96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2.75" customHeight="1" spans="1:26">
      <c r="A469" s="95"/>
      <c r="B469" s="95"/>
      <c r="C469" s="96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2.75" customHeight="1" spans="1:26">
      <c r="A470" s="95"/>
      <c r="B470" s="95"/>
      <c r="C470" s="96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2.75" customHeight="1" spans="1:26">
      <c r="A471" s="95"/>
      <c r="B471" s="95"/>
      <c r="C471" s="96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2.75" customHeight="1" spans="1:26">
      <c r="A472" s="95"/>
      <c r="B472" s="95"/>
      <c r="C472" s="96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2.75" customHeight="1" spans="1:26">
      <c r="A473" s="95"/>
      <c r="B473" s="95"/>
      <c r="C473" s="96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2.75" customHeight="1" spans="1:26">
      <c r="A474" s="95"/>
      <c r="B474" s="95"/>
      <c r="C474" s="96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2.75" customHeight="1" spans="1:26">
      <c r="A475" s="95"/>
      <c r="B475" s="95"/>
      <c r="C475" s="96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2.75" customHeight="1" spans="1:26">
      <c r="A476" s="95"/>
      <c r="B476" s="95"/>
      <c r="C476" s="96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2.75" customHeight="1" spans="1:26">
      <c r="A477" s="95"/>
      <c r="B477" s="95"/>
      <c r="C477" s="96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2.75" customHeight="1" spans="1:26">
      <c r="A478" s="95"/>
      <c r="B478" s="95"/>
      <c r="C478" s="96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2.75" customHeight="1" spans="1:26">
      <c r="A479" s="95"/>
      <c r="B479" s="95"/>
      <c r="C479" s="96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2.75" customHeight="1" spans="1:26">
      <c r="A480" s="95"/>
      <c r="B480" s="95"/>
      <c r="C480" s="96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2.75" customHeight="1" spans="1:26">
      <c r="A481" s="95"/>
      <c r="B481" s="95"/>
      <c r="C481" s="96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2.75" customHeight="1" spans="1:26">
      <c r="A482" s="95"/>
      <c r="B482" s="95"/>
      <c r="C482" s="96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2.75" customHeight="1" spans="1:26">
      <c r="A483" s="95"/>
      <c r="B483" s="95"/>
      <c r="C483" s="96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2.75" customHeight="1" spans="1:26">
      <c r="A484" s="95"/>
      <c r="B484" s="95"/>
      <c r="C484" s="96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2.75" customHeight="1" spans="1:26">
      <c r="A485" s="95"/>
      <c r="B485" s="95"/>
      <c r="C485" s="96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2.75" customHeight="1" spans="1:26">
      <c r="A486" s="95"/>
      <c r="B486" s="95"/>
      <c r="C486" s="96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2.75" customHeight="1" spans="1:26">
      <c r="A487" s="95"/>
      <c r="B487" s="95"/>
      <c r="C487" s="96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2.75" customHeight="1" spans="1:26">
      <c r="A488" s="95"/>
      <c r="B488" s="95"/>
      <c r="C488" s="96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2.75" customHeight="1" spans="1:26">
      <c r="A489" s="95"/>
      <c r="B489" s="95"/>
      <c r="C489" s="96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2.75" customHeight="1" spans="1:26">
      <c r="A490" s="95"/>
      <c r="B490" s="95"/>
      <c r="C490" s="96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2.75" customHeight="1" spans="1:26">
      <c r="A491" s="95"/>
      <c r="B491" s="95"/>
      <c r="C491" s="96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2.75" customHeight="1" spans="1:26">
      <c r="A492" s="95"/>
      <c r="B492" s="95"/>
      <c r="C492" s="96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2.75" customHeight="1" spans="1:26">
      <c r="A493" s="95"/>
      <c r="B493" s="95"/>
      <c r="C493" s="96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2.75" customHeight="1" spans="1:26">
      <c r="A494" s="95"/>
      <c r="B494" s="95"/>
      <c r="C494" s="96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2.75" customHeight="1" spans="1:26">
      <c r="A495" s="95"/>
      <c r="B495" s="95"/>
      <c r="C495" s="96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2.75" customHeight="1" spans="1:26">
      <c r="A496" s="95"/>
      <c r="B496" s="95"/>
      <c r="C496" s="96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2.75" customHeight="1" spans="1:26">
      <c r="A497" s="95"/>
      <c r="B497" s="95"/>
      <c r="C497" s="96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2.75" customHeight="1" spans="1:26">
      <c r="A498" s="95"/>
      <c r="B498" s="95"/>
      <c r="C498" s="96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2.75" customHeight="1" spans="1:26">
      <c r="A499" s="95"/>
      <c r="B499" s="95"/>
      <c r="C499" s="96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2.75" customHeight="1" spans="1:26">
      <c r="A500" s="95"/>
      <c r="B500" s="95"/>
      <c r="C500" s="96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2.75" customHeight="1" spans="1:26">
      <c r="A501" s="95"/>
      <c r="B501" s="95"/>
      <c r="C501" s="96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2.75" customHeight="1" spans="1:26">
      <c r="A502" s="95"/>
      <c r="B502" s="95"/>
      <c r="C502" s="96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2.75" customHeight="1" spans="1:26">
      <c r="A503" s="95"/>
      <c r="B503" s="95"/>
      <c r="C503" s="96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2.75" customHeight="1" spans="1:26">
      <c r="A504" s="95"/>
      <c r="B504" s="95"/>
      <c r="C504" s="96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2.75" customHeight="1" spans="1:26">
      <c r="A505" s="95"/>
      <c r="B505" s="95"/>
      <c r="C505" s="96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2.75" customHeight="1" spans="1:26">
      <c r="A506" s="95"/>
      <c r="B506" s="95"/>
      <c r="C506" s="96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2.75" customHeight="1" spans="1:26">
      <c r="A507" s="95"/>
      <c r="B507" s="95"/>
      <c r="C507" s="96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2.75" customHeight="1" spans="1:26">
      <c r="A508" s="95"/>
      <c r="B508" s="95"/>
      <c r="C508" s="96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2.75" customHeight="1" spans="1:26">
      <c r="A509" s="95"/>
      <c r="B509" s="95"/>
      <c r="C509" s="96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2.75" customHeight="1" spans="1:26">
      <c r="A510" s="95"/>
      <c r="B510" s="95"/>
      <c r="C510" s="96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2.75" customHeight="1" spans="1:26">
      <c r="A511" s="95"/>
      <c r="B511" s="95"/>
      <c r="C511" s="96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2.75" customHeight="1" spans="1:26">
      <c r="A512" s="95"/>
      <c r="B512" s="95"/>
      <c r="C512" s="96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2.75" customHeight="1" spans="1:26">
      <c r="A513" s="95"/>
      <c r="B513" s="95"/>
      <c r="C513" s="96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2.75" customHeight="1" spans="1:26">
      <c r="A514" s="95"/>
      <c r="B514" s="95"/>
      <c r="C514" s="96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2.75" customHeight="1" spans="1:26">
      <c r="A515" s="95"/>
      <c r="B515" s="95"/>
      <c r="C515" s="96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2.75" customHeight="1" spans="1:26">
      <c r="A516" s="95"/>
      <c r="B516" s="95"/>
      <c r="C516" s="96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2.75" customHeight="1" spans="1:26">
      <c r="A517" s="95"/>
      <c r="B517" s="95"/>
      <c r="C517" s="96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2.75" customHeight="1" spans="1:26">
      <c r="A518" s="95"/>
      <c r="B518" s="95"/>
      <c r="C518" s="96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2.75" customHeight="1" spans="1:26">
      <c r="A519" s="95"/>
      <c r="B519" s="95"/>
      <c r="C519" s="96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2.75" customHeight="1" spans="1:26">
      <c r="A520" s="95"/>
      <c r="B520" s="95"/>
      <c r="C520" s="96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2.75" customHeight="1" spans="1:26">
      <c r="A521" s="95"/>
      <c r="B521" s="95"/>
      <c r="C521" s="96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2.75" customHeight="1" spans="1:26">
      <c r="A522" s="95"/>
      <c r="B522" s="95"/>
      <c r="C522" s="96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2.75" customHeight="1" spans="1:26">
      <c r="A523" s="95"/>
      <c r="B523" s="95"/>
      <c r="C523" s="96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2.75" customHeight="1" spans="1:26">
      <c r="A524" s="95"/>
      <c r="B524" s="95"/>
      <c r="C524" s="96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2.75" customHeight="1" spans="1:26">
      <c r="A525" s="95"/>
      <c r="B525" s="95"/>
      <c r="C525" s="96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2.75" customHeight="1" spans="1:26">
      <c r="A526" s="95"/>
      <c r="B526" s="95"/>
      <c r="C526" s="96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2.75" customHeight="1" spans="1:26">
      <c r="A527" s="95"/>
      <c r="B527" s="95"/>
      <c r="C527" s="96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2.75" customHeight="1" spans="1:26">
      <c r="A528" s="95"/>
      <c r="B528" s="95"/>
      <c r="C528" s="96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2.75" customHeight="1" spans="1:26">
      <c r="A529" s="95"/>
      <c r="B529" s="95"/>
      <c r="C529" s="96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2.75" customHeight="1" spans="1:26">
      <c r="A530" s="95"/>
      <c r="B530" s="95"/>
      <c r="C530" s="96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2.75" customHeight="1" spans="1:26">
      <c r="A531" s="95"/>
      <c r="B531" s="95"/>
      <c r="C531" s="96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2.75" customHeight="1" spans="1:26">
      <c r="A532" s="95"/>
      <c r="B532" s="95"/>
      <c r="C532" s="96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2.75" customHeight="1" spans="1:26">
      <c r="A533" s="95"/>
      <c r="B533" s="95"/>
      <c r="C533" s="96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2.75" customHeight="1" spans="1:26">
      <c r="A534" s="95"/>
      <c r="B534" s="95"/>
      <c r="C534" s="96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2.75" customHeight="1" spans="1:26">
      <c r="A535" s="95"/>
      <c r="B535" s="95"/>
      <c r="C535" s="96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2.75" customHeight="1" spans="1:26">
      <c r="A536" s="95"/>
      <c r="B536" s="95"/>
      <c r="C536" s="96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2.75" customHeight="1" spans="1:26">
      <c r="A537" s="95"/>
      <c r="B537" s="95"/>
      <c r="C537" s="96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2.75" customHeight="1" spans="1:26">
      <c r="A538" s="95"/>
      <c r="B538" s="95"/>
      <c r="C538" s="96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2.75" customHeight="1" spans="1:26">
      <c r="A539" s="95"/>
      <c r="B539" s="95"/>
      <c r="C539" s="96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2.75" customHeight="1" spans="1:26">
      <c r="A540" s="95"/>
      <c r="B540" s="95"/>
      <c r="C540" s="96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2.75" customHeight="1" spans="1:26">
      <c r="A541" s="95"/>
      <c r="B541" s="95"/>
      <c r="C541" s="96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2.75" customHeight="1" spans="1:26">
      <c r="A542" s="95"/>
      <c r="B542" s="95"/>
      <c r="C542" s="96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2.75" customHeight="1" spans="1:26">
      <c r="A543" s="95"/>
      <c r="B543" s="95"/>
      <c r="C543" s="96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2.75" customHeight="1" spans="1:26">
      <c r="A544" s="95"/>
      <c r="B544" s="95"/>
      <c r="C544" s="96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2.75" customHeight="1" spans="1:26">
      <c r="A545" s="95"/>
      <c r="B545" s="95"/>
      <c r="C545" s="96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2.75" customHeight="1" spans="1:26">
      <c r="A546" s="95"/>
      <c r="B546" s="95"/>
      <c r="C546" s="96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2.75" customHeight="1" spans="1:26">
      <c r="A547" s="95"/>
      <c r="B547" s="95"/>
      <c r="C547" s="96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2.75" customHeight="1" spans="1:26">
      <c r="A548" s="95"/>
      <c r="B548" s="95"/>
      <c r="C548" s="96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2.75" customHeight="1" spans="1:26">
      <c r="A549" s="95"/>
      <c r="B549" s="95"/>
      <c r="C549" s="96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2.75" customHeight="1" spans="1:26">
      <c r="A550" s="95"/>
      <c r="B550" s="95"/>
      <c r="C550" s="96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2.75" customHeight="1" spans="1:26">
      <c r="A551" s="95"/>
      <c r="B551" s="95"/>
      <c r="C551" s="96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2.75" customHeight="1" spans="1:26">
      <c r="A552" s="95"/>
      <c r="B552" s="95"/>
      <c r="C552" s="96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2.75" customHeight="1" spans="1:26">
      <c r="A553" s="95"/>
      <c r="B553" s="95"/>
      <c r="C553" s="96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2.75" customHeight="1" spans="1:26">
      <c r="A554" s="95"/>
      <c r="B554" s="95"/>
      <c r="C554" s="96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2.75" customHeight="1" spans="1:26">
      <c r="A555" s="95"/>
      <c r="B555" s="95"/>
      <c r="C555" s="96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2.75" customHeight="1" spans="1:26">
      <c r="A556" s="95"/>
      <c r="B556" s="95"/>
      <c r="C556" s="96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2.75" customHeight="1" spans="1:26">
      <c r="A557" s="95"/>
      <c r="B557" s="95"/>
      <c r="C557" s="96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2.75" customHeight="1" spans="1:26">
      <c r="A558" s="95"/>
      <c r="B558" s="95"/>
      <c r="C558" s="96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2.75" customHeight="1" spans="1:26">
      <c r="A559" s="95"/>
      <c r="B559" s="95"/>
      <c r="C559" s="96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2.75" customHeight="1" spans="1:26">
      <c r="A560" s="95"/>
      <c r="B560" s="95"/>
      <c r="C560" s="96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2.75" customHeight="1" spans="1:26">
      <c r="A561" s="95"/>
      <c r="B561" s="95"/>
      <c r="C561" s="96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2.75" customHeight="1" spans="1:26">
      <c r="A562" s="95"/>
      <c r="B562" s="95"/>
      <c r="C562" s="96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2.75" customHeight="1" spans="1:26">
      <c r="A563" s="95"/>
      <c r="B563" s="95"/>
      <c r="C563" s="96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2.75" customHeight="1" spans="1:26">
      <c r="A564" s="95"/>
      <c r="B564" s="95"/>
      <c r="C564" s="96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2.75" customHeight="1" spans="1:26">
      <c r="A565" s="95"/>
      <c r="B565" s="95"/>
      <c r="C565" s="96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2.75" customHeight="1" spans="1:26">
      <c r="A566" s="95"/>
      <c r="B566" s="95"/>
      <c r="C566" s="96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2.75" customHeight="1" spans="1:26">
      <c r="A567" s="95"/>
      <c r="B567" s="95"/>
      <c r="C567" s="96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2.75" customHeight="1" spans="1:26">
      <c r="A568" s="95"/>
      <c r="B568" s="95"/>
      <c r="C568" s="96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2.75" customHeight="1" spans="1:26">
      <c r="A569" s="95"/>
      <c r="B569" s="95"/>
      <c r="C569" s="96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2.75" customHeight="1" spans="1:26">
      <c r="A570" s="95"/>
      <c r="B570" s="95"/>
      <c r="C570" s="96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2.75" customHeight="1" spans="1:26">
      <c r="A571" s="95"/>
      <c r="B571" s="95"/>
      <c r="C571" s="96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2.75" customHeight="1" spans="1:26">
      <c r="A572" s="95"/>
      <c r="B572" s="95"/>
      <c r="C572" s="96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2.75" customHeight="1" spans="1:26">
      <c r="A573" s="95"/>
      <c r="B573" s="95"/>
      <c r="C573" s="96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2.75" customHeight="1" spans="1:26">
      <c r="A574" s="95"/>
      <c r="B574" s="95"/>
      <c r="C574" s="96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2.75" customHeight="1" spans="1:26">
      <c r="A575" s="95"/>
      <c r="B575" s="95"/>
      <c r="C575" s="96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2.75" customHeight="1" spans="1:26">
      <c r="A576" s="95"/>
      <c r="B576" s="95"/>
      <c r="C576" s="96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2.75" customHeight="1" spans="1:26">
      <c r="A577" s="95"/>
      <c r="B577" s="95"/>
      <c r="C577" s="96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2.75" customHeight="1" spans="1:26">
      <c r="A578" s="95"/>
      <c r="B578" s="95"/>
      <c r="C578" s="96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2.75" customHeight="1" spans="1:26">
      <c r="A579" s="95"/>
      <c r="B579" s="95"/>
      <c r="C579" s="96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2.75" customHeight="1" spans="1:26">
      <c r="A580" s="95"/>
      <c r="B580" s="95"/>
      <c r="C580" s="96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2.75" customHeight="1" spans="1:26">
      <c r="A581" s="95"/>
      <c r="B581" s="95"/>
      <c r="C581" s="96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2.75" customHeight="1" spans="1:26">
      <c r="A582" s="95"/>
      <c r="B582" s="95"/>
      <c r="C582" s="96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2.75" customHeight="1" spans="1:26">
      <c r="A583" s="95"/>
      <c r="B583" s="95"/>
      <c r="C583" s="96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2.75" customHeight="1" spans="1:26">
      <c r="A584" s="95"/>
      <c r="B584" s="95"/>
      <c r="C584" s="96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2.75" customHeight="1" spans="1:26">
      <c r="A585" s="95"/>
      <c r="B585" s="95"/>
      <c r="C585" s="96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2.75" customHeight="1" spans="1:26">
      <c r="A586" s="95"/>
      <c r="B586" s="95"/>
      <c r="C586" s="96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2.75" customHeight="1" spans="1:26">
      <c r="A587" s="95"/>
      <c r="B587" s="95"/>
      <c r="C587" s="96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2.75" customHeight="1" spans="1:26">
      <c r="A588" s="95"/>
      <c r="B588" s="95"/>
      <c r="C588" s="96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2.75" customHeight="1" spans="1:26">
      <c r="A589" s="95"/>
      <c r="B589" s="95"/>
      <c r="C589" s="96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2.75" customHeight="1" spans="1:26">
      <c r="A590" s="95"/>
      <c r="B590" s="95"/>
      <c r="C590" s="96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2.75" customHeight="1" spans="1:26">
      <c r="A591" s="95"/>
      <c r="B591" s="95"/>
      <c r="C591" s="96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2.75" customHeight="1" spans="1:26">
      <c r="A592" s="95"/>
      <c r="B592" s="95"/>
      <c r="C592" s="96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2.75" customHeight="1" spans="1:26">
      <c r="A593" s="95"/>
      <c r="B593" s="95"/>
      <c r="C593" s="96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2.75" customHeight="1" spans="1:26">
      <c r="A594" s="95"/>
      <c r="B594" s="95"/>
      <c r="C594" s="96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2.75" customHeight="1" spans="1:26">
      <c r="A595" s="95"/>
      <c r="B595" s="95"/>
      <c r="C595" s="96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2.75" customHeight="1" spans="1:26">
      <c r="A596" s="95"/>
      <c r="B596" s="95"/>
      <c r="C596" s="96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2.75" customHeight="1" spans="1:26">
      <c r="A597" s="95"/>
      <c r="B597" s="95"/>
      <c r="C597" s="96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2.75" customHeight="1" spans="1:26">
      <c r="A598" s="95"/>
      <c r="B598" s="95"/>
      <c r="C598" s="96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2.75" customHeight="1" spans="1:26">
      <c r="A599" s="95"/>
      <c r="B599" s="95"/>
      <c r="C599" s="96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2.75" customHeight="1" spans="1:26">
      <c r="A600" s="95"/>
      <c r="B600" s="95"/>
      <c r="C600" s="96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2.75" customHeight="1" spans="1:26">
      <c r="A601" s="95"/>
      <c r="B601" s="95"/>
      <c r="C601" s="96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2.75" customHeight="1" spans="1:26">
      <c r="A602" s="95"/>
      <c r="B602" s="95"/>
      <c r="C602" s="96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2.75" customHeight="1" spans="1:26">
      <c r="A603" s="95"/>
      <c r="B603" s="95"/>
      <c r="C603" s="96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2.75" customHeight="1" spans="1:26">
      <c r="A604" s="95"/>
      <c r="B604" s="95"/>
      <c r="C604" s="96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2.75" customHeight="1" spans="1:26">
      <c r="A605" s="95"/>
      <c r="B605" s="95"/>
      <c r="C605" s="96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2.75" customHeight="1" spans="1:26">
      <c r="A606" s="95"/>
      <c r="B606" s="95"/>
      <c r="C606" s="96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2.75" customHeight="1" spans="1:26">
      <c r="A607" s="95"/>
      <c r="B607" s="95"/>
      <c r="C607" s="96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2.75" customHeight="1" spans="1:26">
      <c r="A608" s="95"/>
      <c r="B608" s="95"/>
      <c r="C608" s="96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2.75" customHeight="1" spans="1:26">
      <c r="A609" s="95"/>
      <c r="B609" s="95"/>
      <c r="C609" s="96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2.75" customHeight="1" spans="1:26">
      <c r="A610" s="95"/>
      <c r="B610" s="95"/>
      <c r="C610" s="96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2.75" customHeight="1" spans="1:26">
      <c r="A611" s="95"/>
      <c r="B611" s="95"/>
      <c r="C611" s="96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2.75" customHeight="1" spans="1:26">
      <c r="A612" s="95"/>
      <c r="B612" s="95"/>
      <c r="C612" s="96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2.75" customHeight="1" spans="1:26">
      <c r="A613" s="95"/>
      <c r="B613" s="95"/>
      <c r="C613" s="96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2.75" customHeight="1" spans="1:26">
      <c r="A614" s="95"/>
      <c r="B614" s="95"/>
      <c r="C614" s="96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2.75" customHeight="1" spans="1:26">
      <c r="A615" s="95"/>
      <c r="B615" s="95"/>
      <c r="C615" s="96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2.75" customHeight="1" spans="1:26">
      <c r="A616" s="95"/>
      <c r="B616" s="95"/>
      <c r="C616" s="96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2.75" customHeight="1" spans="1:26">
      <c r="A617" s="95"/>
      <c r="B617" s="95"/>
      <c r="C617" s="96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2.75" customHeight="1" spans="1:26">
      <c r="A618" s="95"/>
      <c r="B618" s="95"/>
      <c r="C618" s="96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2.75" customHeight="1" spans="1:26">
      <c r="A619" s="95"/>
      <c r="B619" s="95"/>
      <c r="C619" s="96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2.75" customHeight="1" spans="1:26">
      <c r="A620" s="95"/>
      <c r="B620" s="95"/>
      <c r="C620" s="96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2.75" customHeight="1" spans="1:26">
      <c r="A621" s="95"/>
      <c r="B621" s="95"/>
      <c r="C621" s="96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2.75" customHeight="1" spans="1:26">
      <c r="A622" s="95"/>
      <c r="B622" s="95"/>
      <c r="C622" s="96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2.75" customHeight="1" spans="1:26">
      <c r="A623" s="95"/>
      <c r="B623" s="95"/>
      <c r="C623" s="96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2.75" customHeight="1" spans="1:26">
      <c r="A624" s="95"/>
      <c r="B624" s="95"/>
      <c r="C624" s="96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2.75" customHeight="1" spans="1:26">
      <c r="A625" s="95"/>
      <c r="B625" s="95"/>
      <c r="C625" s="96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2.75" customHeight="1" spans="1:26">
      <c r="A626" s="95"/>
      <c r="B626" s="95"/>
      <c r="C626" s="96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2.75" customHeight="1" spans="1:26">
      <c r="A627" s="95"/>
      <c r="B627" s="95"/>
      <c r="C627" s="96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2.75" customHeight="1" spans="1:26">
      <c r="A628" s="95"/>
      <c r="B628" s="95"/>
      <c r="C628" s="96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2.75" customHeight="1" spans="1:26">
      <c r="A629" s="95"/>
      <c r="B629" s="95"/>
      <c r="C629" s="96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2.75" customHeight="1" spans="1:26">
      <c r="A630" s="95"/>
      <c r="B630" s="95"/>
      <c r="C630" s="96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2.75" customHeight="1" spans="1:26">
      <c r="A631" s="95"/>
      <c r="B631" s="95"/>
      <c r="C631" s="96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2.75" customHeight="1" spans="1:26">
      <c r="A632" s="95"/>
      <c r="B632" s="95"/>
      <c r="C632" s="96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2.75" customHeight="1" spans="1:26">
      <c r="A633" s="95"/>
      <c r="B633" s="95"/>
      <c r="C633" s="96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2.75" customHeight="1" spans="1:26">
      <c r="A634" s="95"/>
      <c r="B634" s="95"/>
      <c r="C634" s="96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2.75" customHeight="1" spans="1:26">
      <c r="A635" s="95"/>
      <c r="B635" s="95"/>
      <c r="C635" s="96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2.75" customHeight="1" spans="1:26">
      <c r="A636" s="95"/>
      <c r="B636" s="95"/>
      <c r="C636" s="96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2.75" customHeight="1" spans="1:26">
      <c r="A637" s="95"/>
      <c r="B637" s="95"/>
      <c r="C637" s="96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2.75" customHeight="1" spans="1:26">
      <c r="A638" s="95"/>
      <c r="B638" s="95"/>
      <c r="C638" s="96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2.75" customHeight="1" spans="1:26">
      <c r="A639" s="95"/>
      <c r="B639" s="95"/>
      <c r="C639" s="96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2.75" customHeight="1" spans="1:26">
      <c r="A640" s="95"/>
      <c r="B640" s="95"/>
      <c r="C640" s="96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2.75" customHeight="1" spans="1:26">
      <c r="A641" s="95"/>
      <c r="B641" s="95"/>
      <c r="C641" s="96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2.75" customHeight="1" spans="1:26">
      <c r="A642" s="95"/>
      <c r="B642" s="95"/>
      <c r="C642" s="96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2.75" customHeight="1" spans="1:26">
      <c r="A643" s="95"/>
      <c r="B643" s="95"/>
      <c r="C643" s="96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2.75" customHeight="1" spans="1:26">
      <c r="A644" s="95"/>
      <c r="B644" s="95"/>
      <c r="C644" s="96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2.75" customHeight="1" spans="1:26">
      <c r="A645" s="95"/>
      <c r="B645" s="95"/>
      <c r="C645" s="96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2.75" customHeight="1" spans="1:26">
      <c r="A646" s="95"/>
      <c r="B646" s="95"/>
      <c r="C646" s="96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2.75" customHeight="1" spans="1:26">
      <c r="A647" s="95"/>
      <c r="B647" s="95"/>
      <c r="C647" s="96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2.75" customHeight="1" spans="1:26">
      <c r="A648" s="95"/>
      <c r="B648" s="95"/>
      <c r="C648" s="96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2.75" customHeight="1" spans="1:26">
      <c r="A649" s="95"/>
      <c r="B649" s="95"/>
      <c r="C649" s="96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2.75" customHeight="1" spans="1:26">
      <c r="A650" s="95"/>
      <c r="B650" s="95"/>
      <c r="C650" s="96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2.75" customHeight="1" spans="1:26">
      <c r="A651" s="95"/>
      <c r="B651" s="95"/>
      <c r="C651" s="96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2.75" customHeight="1" spans="1:26">
      <c r="A652" s="95"/>
      <c r="B652" s="95"/>
      <c r="C652" s="96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2.75" customHeight="1" spans="1:26">
      <c r="A653" s="95"/>
      <c r="B653" s="95"/>
      <c r="C653" s="96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2.75" customHeight="1" spans="1:26">
      <c r="A654" s="95"/>
      <c r="B654" s="95"/>
      <c r="C654" s="96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2.75" customHeight="1" spans="1:26">
      <c r="A655" s="95"/>
      <c r="B655" s="95"/>
      <c r="C655" s="96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2.75" customHeight="1" spans="1:26">
      <c r="A656" s="95"/>
      <c r="B656" s="95"/>
      <c r="C656" s="96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2.75" customHeight="1" spans="1:26">
      <c r="A657" s="95"/>
      <c r="B657" s="95"/>
      <c r="C657" s="96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2.75" customHeight="1" spans="1:26">
      <c r="A658" s="95"/>
      <c r="B658" s="95"/>
      <c r="C658" s="96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2.75" customHeight="1" spans="1:26">
      <c r="A659" s="95"/>
      <c r="B659" s="95"/>
      <c r="C659" s="96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2.75" customHeight="1" spans="1:26">
      <c r="A660" s="95"/>
      <c r="B660" s="95"/>
      <c r="C660" s="96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2.75" customHeight="1" spans="1:26">
      <c r="A661" s="95"/>
      <c r="B661" s="95"/>
      <c r="C661" s="96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2.75" customHeight="1" spans="1:26">
      <c r="A662" s="95"/>
      <c r="B662" s="95"/>
      <c r="C662" s="96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2.75" customHeight="1" spans="1:26">
      <c r="A663" s="95"/>
      <c r="B663" s="95"/>
      <c r="C663" s="96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2.75" customHeight="1" spans="1:26">
      <c r="A664" s="95"/>
      <c r="B664" s="95"/>
      <c r="C664" s="96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2.75" customHeight="1" spans="1:26">
      <c r="A665" s="95"/>
      <c r="B665" s="95"/>
      <c r="C665" s="96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2.75" customHeight="1" spans="1:26">
      <c r="A666" s="95"/>
      <c r="B666" s="95"/>
      <c r="C666" s="96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2.75" customHeight="1" spans="1:26">
      <c r="A667" s="95"/>
      <c r="B667" s="95"/>
      <c r="C667" s="96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2.75" customHeight="1" spans="1:26">
      <c r="A668" s="95"/>
      <c r="B668" s="95"/>
      <c r="C668" s="96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2.75" customHeight="1" spans="1:26">
      <c r="A669" s="95"/>
      <c r="B669" s="95"/>
      <c r="C669" s="96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2.75" customHeight="1" spans="1:26">
      <c r="A670" s="95"/>
      <c r="B670" s="95"/>
      <c r="C670" s="96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2.75" customHeight="1" spans="1:26">
      <c r="A671" s="95"/>
      <c r="B671" s="95"/>
      <c r="C671" s="96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2.75" customHeight="1" spans="1:26">
      <c r="A672" s="95"/>
      <c r="B672" s="95"/>
      <c r="C672" s="96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2.75" customHeight="1" spans="1:26">
      <c r="A673" s="95"/>
      <c r="B673" s="95"/>
      <c r="C673" s="96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2.75" customHeight="1" spans="1:26">
      <c r="A674" s="95"/>
      <c r="B674" s="95"/>
      <c r="C674" s="96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2.75" customHeight="1" spans="1:26">
      <c r="A675" s="95"/>
      <c r="B675" s="95"/>
      <c r="C675" s="96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2.75" customHeight="1" spans="1:26">
      <c r="A676" s="95"/>
      <c r="B676" s="95"/>
      <c r="C676" s="96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2.75" customHeight="1" spans="1:26">
      <c r="A677" s="95"/>
      <c r="B677" s="95"/>
      <c r="C677" s="96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2.75" customHeight="1" spans="1:26">
      <c r="A678" s="95"/>
      <c r="B678" s="95"/>
      <c r="C678" s="96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2.75" customHeight="1" spans="1:26">
      <c r="A679" s="95"/>
      <c r="B679" s="95"/>
      <c r="C679" s="96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2.75" customHeight="1" spans="1:26">
      <c r="A680" s="95"/>
      <c r="B680" s="95"/>
      <c r="C680" s="96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2.75" customHeight="1" spans="1:26">
      <c r="A681" s="95"/>
      <c r="B681" s="95"/>
      <c r="C681" s="96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2.75" customHeight="1" spans="1:26">
      <c r="A682" s="95"/>
      <c r="B682" s="95"/>
      <c r="C682" s="96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2.75" customHeight="1" spans="1:26">
      <c r="A683" s="95"/>
      <c r="B683" s="95"/>
      <c r="C683" s="96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2.75" customHeight="1" spans="1:26">
      <c r="A684" s="95"/>
      <c r="B684" s="95"/>
      <c r="C684" s="96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2.75" customHeight="1" spans="1:26">
      <c r="A685" s="95"/>
      <c r="B685" s="95"/>
      <c r="C685" s="96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2.75" customHeight="1" spans="1:26">
      <c r="A686" s="95"/>
      <c r="B686" s="95"/>
      <c r="C686" s="96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2.75" customHeight="1" spans="1:26">
      <c r="A687" s="95"/>
      <c r="B687" s="95"/>
      <c r="C687" s="96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2.75" customHeight="1" spans="1:26">
      <c r="A688" s="95"/>
      <c r="B688" s="95"/>
      <c r="C688" s="96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2.75" customHeight="1" spans="1:26">
      <c r="A689" s="95"/>
      <c r="B689" s="95"/>
      <c r="C689" s="96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2.75" customHeight="1" spans="1:26">
      <c r="A690" s="95"/>
      <c r="B690" s="95"/>
      <c r="C690" s="96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2.75" customHeight="1" spans="1:26">
      <c r="A691" s="95"/>
      <c r="B691" s="95"/>
      <c r="C691" s="96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2.75" customHeight="1" spans="1:26">
      <c r="A692" s="95"/>
      <c r="B692" s="95"/>
      <c r="C692" s="96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2.75" customHeight="1" spans="1:26">
      <c r="A693" s="95"/>
      <c r="B693" s="95"/>
      <c r="C693" s="96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2.75" customHeight="1" spans="1:26">
      <c r="A694" s="95"/>
      <c r="B694" s="95"/>
      <c r="C694" s="96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2.75" customHeight="1" spans="1:26">
      <c r="A695" s="95"/>
      <c r="B695" s="95"/>
      <c r="C695" s="96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2.75" customHeight="1" spans="1:26">
      <c r="A696" s="95"/>
      <c r="B696" s="95"/>
      <c r="C696" s="96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2.75" customHeight="1" spans="1:26">
      <c r="A697" s="95"/>
      <c r="B697" s="95"/>
      <c r="C697" s="96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2.75" customHeight="1" spans="1:26">
      <c r="A698" s="95"/>
      <c r="B698" s="95"/>
      <c r="C698" s="96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2.75" customHeight="1" spans="1:26">
      <c r="A699" s="95"/>
      <c r="B699" s="95"/>
      <c r="C699" s="96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2.75" customHeight="1" spans="1:26">
      <c r="A700" s="95"/>
      <c r="B700" s="95"/>
      <c r="C700" s="96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2.75" customHeight="1" spans="1:26">
      <c r="A701" s="95"/>
      <c r="B701" s="95"/>
      <c r="C701" s="96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2.75" customHeight="1" spans="1:26">
      <c r="A702" s="95"/>
      <c r="B702" s="95"/>
      <c r="C702" s="96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2.75" customHeight="1" spans="1:26">
      <c r="A703" s="95"/>
      <c r="B703" s="95"/>
      <c r="C703" s="96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2.75" customHeight="1" spans="1:26">
      <c r="A704" s="95"/>
      <c r="B704" s="95"/>
      <c r="C704" s="96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2.75" customHeight="1" spans="1:26">
      <c r="A705" s="95"/>
      <c r="B705" s="95"/>
      <c r="C705" s="96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2.75" customHeight="1" spans="1:26">
      <c r="A706" s="95"/>
      <c r="B706" s="95"/>
      <c r="C706" s="96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2.75" customHeight="1" spans="1:26">
      <c r="A707" s="95"/>
      <c r="B707" s="95"/>
      <c r="C707" s="96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2.75" customHeight="1" spans="1:26">
      <c r="A708" s="95"/>
      <c r="B708" s="95"/>
      <c r="C708" s="96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2.75" customHeight="1" spans="1:26">
      <c r="A709" s="95"/>
      <c r="B709" s="95"/>
      <c r="C709" s="96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2.75" customHeight="1" spans="1:26">
      <c r="A710" s="95"/>
      <c r="B710" s="95"/>
      <c r="C710" s="96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2.75" customHeight="1" spans="1:26">
      <c r="A711" s="95"/>
      <c r="B711" s="95"/>
      <c r="C711" s="96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2.75" customHeight="1" spans="1:26">
      <c r="A712" s="95"/>
      <c r="B712" s="95"/>
      <c r="C712" s="96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2.75" customHeight="1" spans="1:26">
      <c r="A713" s="95"/>
      <c r="B713" s="95"/>
      <c r="C713" s="96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2.75" customHeight="1" spans="1:26">
      <c r="A714" s="95"/>
      <c r="B714" s="95"/>
      <c r="C714" s="96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2.75" customHeight="1" spans="1:26">
      <c r="A715" s="95"/>
      <c r="B715" s="95"/>
      <c r="C715" s="96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2.75" customHeight="1" spans="1:26">
      <c r="A716" s="95"/>
      <c r="B716" s="95"/>
      <c r="C716" s="96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2.75" customHeight="1" spans="1:26">
      <c r="A717" s="95"/>
      <c r="B717" s="95"/>
      <c r="C717" s="96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2.75" customHeight="1" spans="1:26">
      <c r="A718" s="95"/>
      <c r="B718" s="95"/>
      <c r="C718" s="96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2.75" customHeight="1" spans="1:26">
      <c r="A719" s="95"/>
      <c r="B719" s="95"/>
      <c r="C719" s="96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2.75" customHeight="1" spans="1:26">
      <c r="A720" s="95"/>
      <c r="B720" s="95"/>
      <c r="C720" s="96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2.75" customHeight="1" spans="1:26">
      <c r="A721" s="95"/>
      <c r="B721" s="95"/>
      <c r="C721" s="96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2.75" customHeight="1" spans="1:26">
      <c r="A722" s="95"/>
      <c r="B722" s="95"/>
      <c r="C722" s="96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2.75" customHeight="1" spans="1:26">
      <c r="A723" s="95"/>
      <c r="B723" s="95"/>
      <c r="C723" s="96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2.75" customHeight="1" spans="1:26">
      <c r="A724" s="95"/>
      <c r="B724" s="95"/>
      <c r="C724" s="96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2.75" customHeight="1" spans="1:26">
      <c r="A725" s="95"/>
      <c r="B725" s="95"/>
      <c r="C725" s="96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2.75" customHeight="1" spans="1:26">
      <c r="A726" s="95"/>
      <c r="B726" s="95"/>
      <c r="C726" s="96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2.75" customHeight="1" spans="1:26">
      <c r="A727" s="95"/>
      <c r="B727" s="95"/>
      <c r="C727" s="96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2.75" customHeight="1" spans="1:26">
      <c r="A728" s="95"/>
      <c r="B728" s="95"/>
      <c r="C728" s="96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2.75" customHeight="1" spans="1:26">
      <c r="A729" s="95"/>
      <c r="B729" s="95"/>
      <c r="C729" s="96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2.75" customHeight="1" spans="1:26">
      <c r="A730" s="95"/>
      <c r="B730" s="95"/>
      <c r="C730" s="96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2.75" customHeight="1" spans="1:26">
      <c r="A731" s="95"/>
      <c r="B731" s="95"/>
      <c r="C731" s="96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2.75" customHeight="1" spans="1:26">
      <c r="A732" s="95"/>
      <c r="B732" s="95"/>
      <c r="C732" s="96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2.75" customHeight="1" spans="1:26">
      <c r="A733" s="95"/>
      <c r="B733" s="95"/>
      <c r="C733" s="96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2.75" customHeight="1" spans="1:26">
      <c r="A734" s="95"/>
      <c r="B734" s="95"/>
      <c r="C734" s="96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2.75" customHeight="1" spans="1:26">
      <c r="A735" s="95"/>
      <c r="B735" s="95"/>
      <c r="C735" s="96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2.75" customHeight="1" spans="1:26">
      <c r="A736" s="95"/>
      <c r="B736" s="95"/>
      <c r="C736" s="96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2.75" customHeight="1" spans="1:26">
      <c r="A737" s="95"/>
      <c r="B737" s="95"/>
      <c r="C737" s="96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2.75" customHeight="1" spans="1:26">
      <c r="A738" s="95"/>
      <c r="B738" s="95"/>
      <c r="C738" s="96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2.75" customHeight="1" spans="1:26">
      <c r="A739" s="95"/>
      <c r="B739" s="95"/>
      <c r="C739" s="96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2.75" customHeight="1" spans="1:26">
      <c r="A740" s="95"/>
      <c r="B740" s="95"/>
      <c r="C740" s="96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2.75" customHeight="1" spans="1:26">
      <c r="A741" s="95"/>
      <c r="B741" s="95"/>
      <c r="C741" s="96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2.75" customHeight="1" spans="1:26">
      <c r="A742" s="95"/>
      <c r="B742" s="95"/>
      <c r="C742" s="96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2.75" customHeight="1" spans="1:26">
      <c r="A743" s="95"/>
      <c r="B743" s="95"/>
      <c r="C743" s="96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2.75" customHeight="1" spans="1:26">
      <c r="A744" s="95"/>
      <c r="B744" s="95"/>
      <c r="C744" s="96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2.75" customHeight="1" spans="1:26">
      <c r="A745" s="95"/>
      <c r="B745" s="95"/>
      <c r="C745" s="96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2.75" customHeight="1" spans="1:26">
      <c r="A746" s="95"/>
      <c r="B746" s="95"/>
      <c r="C746" s="96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2.75" customHeight="1" spans="1:26">
      <c r="A747" s="95"/>
      <c r="B747" s="95"/>
      <c r="C747" s="96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2.75" customHeight="1" spans="1:26">
      <c r="A748" s="95"/>
      <c r="B748" s="95"/>
      <c r="C748" s="96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2.75" customHeight="1" spans="1:26">
      <c r="A749" s="95"/>
      <c r="B749" s="95"/>
      <c r="C749" s="96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2.75" customHeight="1" spans="1:26">
      <c r="A750" s="95"/>
      <c r="B750" s="95"/>
      <c r="C750" s="96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2.75" customHeight="1" spans="1:26">
      <c r="A751" s="95"/>
      <c r="B751" s="95"/>
      <c r="C751" s="96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2.75" customHeight="1" spans="1:26">
      <c r="A752" s="95"/>
      <c r="B752" s="95"/>
      <c r="C752" s="96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2.75" customHeight="1" spans="1:26">
      <c r="A753" s="95"/>
      <c r="B753" s="95"/>
      <c r="C753" s="96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2.75" customHeight="1" spans="1:26">
      <c r="A754" s="95"/>
      <c r="B754" s="95"/>
      <c r="C754" s="96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2.75" customHeight="1" spans="1:26">
      <c r="A755" s="95"/>
      <c r="B755" s="95"/>
      <c r="C755" s="96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2.75" customHeight="1" spans="1:26">
      <c r="A756" s="95"/>
      <c r="B756" s="95"/>
      <c r="C756" s="96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2.75" customHeight="1" spans="1:26">
      <c r="A757" s="95"/>
      <c r="B757" s="95"/>
      <c r="C757" s="96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2.75" customHeight="1" spans="1:26">
      <c r="A758" s="95"/>
      <c r="B758" s="95"/>
      <c r="C758" s="96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2.75" customHeight="1" spans="1:26">
      <c r="A759" s="95"/>
      <c r="B759" s="95"/>
      <c r="C759" s="96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2.75" customHeight="1" spans="1:26">
      <c r="A760" s="95"/>
      <c r="B760" s="95"/>
      <c r="C760" s="96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2.75" customHeight="1" spans="1:26">
      <c r="A761" s="95"/>
      <c r="B761" s="95"/>
      <c r="C761" s="96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2.75" customHeight="1" spans="1:26">
      <c r="A762" s="95"/>
      <c r="B762" s="95"/>
      <c r="C762" s="96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2.75" customHeight="1" spans="1:26">
      <c r="A763" s="95"/>
      <c r="B763" s="95"/>
      <c r="C763" s="96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2.75" customHeight="1" spans="1:26">
      <c r="A764" s="95"/>
      <c r="B764" s="95"/>
      <c r="C764" s="96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2.75" customHeight="1" spans="1:26">
      <c r="A765" s="95"/>
      <c r="B765" s="95"/>
      <c r="C765" s="96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2.75" customHeight="1" spans="1:26">
      <c r="A766" s="95"/>
      <c r="B766" s="95"/>
      <c r="C766" s="96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2.75" customHeight="1" spans="1:26">
      <c r="A767" s="95"/>
      <c r="B767" s="95"/>
      <c r="C767" s="96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2.75" customHeight="1" spans="1:26">
      <c r="A768" s="95"/>
      <c r="B768" s="95"/>
      <c r="C768" s="96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2.75" customHeight="1" spans="1:26">
      <c r="A769" s="95"/>
      <c r="B769" s="95"/>
      <c r="C769" s="96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2.75" customHeight="1" spans="1:26">
      <c r="A770" s="95"/>
      <c r="B770" s="95"/>
      <c r="C770" s="96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2.75" customHeight="1" spans="1:26">
      <c r="A771" s="95"/>
      <c r="B771" s="95"/>
      <c r="C771" s="96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2.75" customHeight="1" spans="1:26">
      <c r="A772" s="95"/>
      <c r="B772" s="95"/>
      <c r="C772" s="96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2.75" customHeight="1" spans="1:26">
      <c r="A773" s="95"/>
      <c r="B773" s="95"/>
      <c r="C773" s="96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2.75" customHeight="1" spans="1:26">
      <c r="A774" s="95"/>
      <c r="B774" s="95"/>
      <c r="C774" s="96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2.75" customHeight="1" spans="1:26">
      <c r="A775" s="95"/>
      <c r="B775" s="95"/>
      <c r="C775" s="96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2.75" customHeight="1" spans="1:26">
      <c r="A776" s="95"/>
      <c r="B776" s="95"/>
      <c r="C776" s="96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2.75" customHeight="1" spans="1:26">
      <c r="A777" s="95"/>
      <c r="B777" s="95"/>
      <c r="C777" s="96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2.75" customHeight="1" spans="1:26">
      <c r="A778" s="95"/>
      <c r="B778" s="95"/>
      <c r="C778" s="96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2.75" customHeight="1" spans="1:26">
      <c r="A779" s="95"/>
      <c r="B779" s="95"/>
      <c r="C779" s="96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2.75" customHeight="1" spans="1:26">
      <c r="A780" s="95"/>
      <c r="B780" s="95"/>
      <c r="C780" s="96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2.75" customHeight="1" spans="1:26">
      <c r="A781" s="95"/>
      <c r="B781" s="95"/>
      <c r="C781" s="96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2.75" customHeight="1" spans="1:26">
      <c r="A782" s="95"/>
      <c r="B782" s="95"/>
      <c r="C782" s="96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2.75" customHeight="1" spans="1:26">
      <c r="A783" s="95"/>
      <c r="B783" s="95"/>
      <c r="C783" s="96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2.75" customHeight="1" spans="1:26">
      <c r="A784" s="95"/>
      <c r="B784" s="95"/>
      <c r="C784" s="96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2.75" customHeight="1" spans="1:26">
      <c r="A785" s="95"/>
      <c r="B785" s="95"/>
      <c r="C785" s="96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2.75" customHeight="1" spans="1:26">
      <c r="A786" s="95"/>
      <c r="B786" s="95"/>
      <c r="C786" s="96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2.75" customHeight="1" spans="1:26">
      <c r="A787" s="95"/>
      <c r="B787" s="95"/>
      <c r="C787" s="96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2.75" customHeight="1" spans="1:26">
      <c r="A788" s="95"/>
      <c r="B788" s="95"/>
      <c r="C788" s="96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2.75" customHeight="1" spans="1:26">
      <c r="A789" s="95"/>
      <c r="B789" s="95"/>
      <c r="C789" s="96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2.75" customHeight="1" spans="1:26">
      <c r="A790" s="95"/>
      <c r="B790" s="95"/>
      <c r="C790" s="96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2.75" customHeight="1" spans="1:26">
      <c r="A791" s="95"/>
      <c r="B791" s="95"/>
      <c r="C791" s="96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2.75" customHeight="1" spans="1:26">
      <c r="A792" s="95"/>
      <c r="B792" s="95"/>
      <c r="C792" s="96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2.75" customHeight="1" spans="1:26">
      <c r="A793" s="95"/>
      <c r="B793" s="95"/>
      <c r="C793" s="96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2.75" customHeight="1" spans="1:26">
      <c r="A794" s="95"/>
      <c r="B794" s="95"/>
      <c r="C794" s="96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2.75" customHeight="1" spans="1:26">
      <c r="A795" s="95"/>
      <c r="B795" s="95"/>
      <c r="C795" s="96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2.75" customHeight="1" spans="1:26">
      <c r="A796" s="95"/>
      <c r="B796" s="95"/>
      <c r="C796" s="96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2.75" customHeight="1" spans="1:26">
      <c r="A797" s="95"/>
      <c r="B797" s="95"/>
      <c r="C797" s="96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2.75" customHeight="1" spans="1:26">
      <c r="A798" s="95"/>
      <c r="B798" s="95"/>
      <c r="C798" s="96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2.75" customHeight="1" spans="1:26">
      <c r="A799" s="95"/>
      <c r="B799" s="95"/>
      <c r="C799" s="96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2.75" customHeight="1" spans="1:26">
      <c r="A800" s="95"/>
      <c r="B800" s="95"/>
      <c r="C800" s="96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2.75" customHeight="1" spans="1:26">
      <c r="A801" s="95"/>
      <c r="B801" s="95"/>
      <c r="C801" s="96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2.75" customHeight="1" spans="1:26">
      <c r="A802" s="95"/>
      <c r="B802" s="95"/>
      <c r="C802" s="96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2.75" customHeight="1" spans="1:26">
      <c r="A803" s="95"/>
      <c r="B803" s="95"/>
      <c r="C803" s="96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2.75" customHeight="1" spans="1:26">
      <c r="A804" s="95"/>
      <c r="B804" s="95"/>
      <c r="C804" s="96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2.75" customHeight="1" spans="1:26">
      <c r="A805" s="95"/>
      <c r="B805" s="95"/>
      <c r="C805" s="96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2.75" customHeight="1" spans="1:26">
      <c r="A806" s="95"/>
      <c r="B806" s="95"/>
      <c r="C806" s="96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2.75" customHeight="1" spans="1:26">
      <c r="A807" s="95"/>
      <c r="B807" s="95"/>
      <c r="C807" s="96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2.75" customHeight="1" spans="1:26">
      <c r="A808" s="95"/>
      <c r="B808" s="95"/>
      <c r="C808" s="96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2.75" customHeight="1" spans="1:26">
      <c r="A809" s="95"/>
      <c r="B809" s="95"/>
      <c r="C809" s="96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2.75" customHeight="1" spans="1:26">
      <c r="A810" s="95"/>
      <c r="B810" s="95"/>
      <c r="C810" s="96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2.75" customHeight="1" spans="1:26">
      <c r="A811" s="95"/>
      <c r="B811" s="95"/>
      <c r="C811" s="96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2.75" customHeight="1" spans="1:26">
      <c r="A812" s="95"/>
      <c r="B812" s="95"/>
      <c r="C812" s="96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2.75" customHeight="1" spans="1:26">
      <c r="A813" s="95"/>
      <c r="B813" s="95"/>
      <c r="C813" s="96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2.75" customHeight="1" spans="1:26">
      <c r="A814" s="95"/>
      <c r="B814" s="95"/>
      <c r="C814" s="96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2.75" customHeight="1" spans="1:26">
      <c r="A815" s="95"/>
      <c r="B815" s="95"/>
      <c r="C815" s="96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2.75" customHeight="1" spans="1:26">
      <c r="A816" s="95"/>
      <c r="B816" s="95"/>
      <c r="C816" s="96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2.75" customHeight="1" spans="1:26">
      <c r="A817" s="95"/>
      <c r="B817" s="95"/>
      <c r="C817" s="96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2.75" customHeight="1" spans="1:26">
      <c r="A818" s="95"/>
      <c r="B818" s="95"/>
      <c r="C818" s="96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2.75" customHeight="1" spans="1:26">
      <c r="A819" s="95"/>
      <c r="B819" s="95"/>
      <c r="C819" s="96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2.75" customHeight="1" spans="1:26">
      <c r="A820" s="95"/>
      <c r="B820" s="95"/>
      <c r="C820" s="96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2.75" customHeight="1" spans="1:26">
      <c r="A821" s="95"/>
      <c r="B821" s="95"/>
      <c r="C821" s="96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2.75" customHeight="1" spans="1:26">
      <c r="A822" s="95"/>
      <c r="B822" s="95"/>
      <c r="C822" s="96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2.75" customHeight="1" spans="1:26">
      <c r="A823" s="95"/>
      <c r="B823" s="95"/>
      <c r="C823" s="96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2.75" customHeight="1" spans="1:26">
      <c r="A824" s="95"/>
      <c r="B824" s="95"/>
      <c r="C824" s="96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2.75" customHeight="1" spans="1:26">
      <c r="A825" s="95"/>
      <c r="B825" s="95"/>
      <c r="C825" s="96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2.75" customHeight="1" spans="1:26">
      <c r="A826" s="95"/>
      <c r="B826" s="95"/>
      <c r="C826" s="96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2.75" customHeight="1" spans="1:26">
      <c r="A827" s="95"/>
      <c r="B827" s="95"/>
      <c r="C827" s="96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2.75" customHeight="1" spans="1:26">
      <c r="A828" s="95"/>
      <c r="B828" s="95"/>
      <c r="C828" s="96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2.75" customHeight="1" spans="1:26">
      <c r="A829" s="95"/>
      <c r="B829" s="95"/>
      <c r="C829" s="96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2.75" customHeight="1" spans="1:26">
      <c r="A830" s="95"/>
      <c r="B830" s="95"/>
      <c r="C830" s="96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2.75" customHeight="1" spans="1:26">
      <c r="A831" s="95"/>
      <c r="B831" s="95"/>
      <c r="C831" s="96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2.75" customHeight="1" spans="1:26">
      <c r="A832" s="95"/>
      <c r="B832" s="95"/>
      <c r="C832" s="96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2.75" customHeight="1" spans="1:26">
      <c r="A833" s="95"/>
      <c r="B833" s="95"/>
      <c r="C833" s="96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2.75" customHeight="1" spans="1:26">
      <c r="A834" s="95"/>
      <c r="B834" s="95"/>
      <c r="C834" s="96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2.75" customHeight="1" spans="1:26">
      <c r="A835" s="95"/>
      <c r="B835" s="95"/>
      <c r="C835" s="96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2.75" customHeight="1" spans="1:26">
      <c r="A836" s="95"/>
      <c r="B836" s="95"/>
      <c r="C836" s="96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2.75" customHeight="1" spans="1:26">
      <c r="A837" s="95"/>
      <c r="B837" s="95"/>
      <c r="C837" s="96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2.75" customHeight="1" spans="1:26">
      <c r="A838" s="95"/>
      <c r="B838" s="95"/>
      <c r="C838" s="96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2.75" customHeight="1" spans="1:26">
      <c r="A839" s="95"/>
      <c r="B839" s="95"/>
      <c r="C839" s="96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2.75" customHeight="1" spans="1:26">
      <c r="A840" s="95"/>
      <c r="B840" s="95"/>
      <c r="C840" s="96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2.75" customHeight="1" spans="1:26">
      <c r="A841" s="95"/>
      <c r="B841" s="95"/>
      <c r="C841" s="96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2.75" customHeight="1" spans="1:26">
      <c r="A842" s="95"/>
      <c r="B842" s="95"/>
      <c r="C842" s="96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2.75" customHeight="1" spans="1:26">
      <c r="A843" s="95"/>
      <c r="B843" s="95"/>
      <c r="C843" s="96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2.75" customHeight="1" spans="1:26">
      <c r="A844" s="95"/>
      <c r="B844" s="95"/>
      <c r="C844" s="96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2.75" customHeight="1" spans="1:26">
      <c r="A845" s="95"/>
      <c r="B845" s="95"/>
      <c r="C845" s="96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2.75" customHeight="1" spans="1:26">
      <c r="A846" s="95"/>
      <c r="B846" s="95"/>
      <c r="C846" s="96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2.75" customHeight="1" spans="1:26">
      <c r="A847" s="95"/>
      <c r="B847" s="95"/>
      <c r="C847" s="96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2.75" customHeight="1" spans="1:26">
      <c r="A848" s="95"/>
      <c r="B848" s="95"/>
      <c r="C848" s="96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2.75" customHeight="1" spans="1:26">
      <c r="A849" s="95"/>
      <c r="B849" s="95"/>
      <c r="C849" s="96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2.75" customHeight="1" spans="1:26">
      <c r="A850" s="95"/>
      <c r="B850" s="95"/>
      <c r="C850" s="96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2.75" customHeight="1" spans="1:26">
      <c r="A851" s="95"/>
      <c r="B851" s="95"/>
      <c r="C851" s="96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2.75" customHeight="1" spans="1:26">
      <c r="A852" s="95"/>
      <c r="B852" s="95"/>
      <c r="C852" s="96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2.75" customHeight="1" spans="1:26">
      <c r="A853" s="95"/>
      <c r="B853" s="95"/>
      <c r="C853" s="96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2.75" customHeight="1" spans="1:26">
      <c r="A854" s="95"/>
      <c r="B854" s="95"/>
      <c r="C854" s="96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2.75" customHeight="1" spans="1:26">
      <c r="A855" s="95"/>
      <c r="B855" s="95"/>
      <c r="C855" s="96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2.75" customHeight="1" spans="1:26">
      <c r="A856" s="95"/>
      <c r="B856" s="95"/>
      <c r="C856" s="96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2.75" customHeight="1" spans="1:26">
      <c r="A857" s="95"/>
      <c r="B857" s="95"/>
      <c r="C857" s="96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2.75" customHeight="1" spans="1:26">
      <c r="A858" s="95"/>
      <c r="B858" s="95"/>
      <c r="C858" s="96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2.75" customHeight="1" spans="1:26">
      <c r="A859" s="95"/>
      <c r="B859" s="95"/>
      <c r="C859" s="96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2.75" customHeight="1" spans="1:26">
      <c r="A860" s="95"/>
      <c r="B860" s="95"/>
      <c r="C860" s="96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2.75" customHeight="1" spans="1:26">
      <c r="A861" s="95"/>
      <c r="B861" s="95"/>
      <c r="C861" s="96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2.75" customHeight="1" spans="1:26">
      <c r="A862" s="95"/>
      <c r="B862" s="95"/>
      <c r="C862" s="96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2.75" customHeight="1" spans="1:26">
      <c r="A863" s="95"/>
      <c r="B863" s="95"/>
      <c r="C863" s="96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2.75" customHeight="1" spans="1:26">
      <c r="A864" s="95"/>
      <c r="B864" s="95"/>
      <c r="C864" s="96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2.75" customHeight="1" spans="1:26">
      <c r="A865" s="95"/>
      <c r="B865" s="95"/>
      <c r="C865" s="96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2.75" customHeight="1" spans="1:26">
      <c r="A866" s="95"/>
      <c r="B866" s="95"/>
      <c r="C866" s="96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2.75" customHeight="1" spans="1:26">
      <c r="A867" s="95"/>
      <c r="B867" s="95"/>
      <c r="C867" s="96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2.75" customHeight="1" spans="1:26">
      <c r="A868" s="95"/>
      <c r="B868" s="95"/>
      <c r="C868" s="96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2.75" customHeight="1" spans="1:26">
      <c r="A869" s="95"/>
      <c r="B869" s="95"/>
      <c r="C869" s="96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2.75" customHeight="1" spans="1:26">
      <c r="A870" s="95"/>
      <c r="B870" s="95"/>
      <c r="C870" s="96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2.75" customHeight="1" spans="1:26">
      <c r="A871" s="95"/>
      <c r="B871" s="95"/>
      <c r="C871" s="96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2.75" customHeight="1" spans="1:26">
      <c r="A872" s="95"/>
      <c r="B872" s="95"/>
      <c r="C872" s="96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2.75" customHeight="1" spans="1:26">
      <c r="A873" s="95"/>
      <c r="B873" s="95"/>
      <c r="C873" s="96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2.75" customHeight="1" spans="1:26">
      <c r="A874" s="95"/>
      <c r="B874" s="95"/>
      <c r="C874" s="96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2.75" customHeight="1" spans="1:26">
      <c r="A875" s="95"/>
      <c r="B875" s="95"/>
      <c r="C875" s="96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2.75" customHeight="1" spans="1:26">
      <c r="A876" s="95"/>
      <c r="B876" s="95"/>
      <c r="C876" s="96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2.75" customHeight="1" spans="1:26">
      <c r="A877" s="95"/>
      <c r="B877" s="95"/>
      <c r="C877" s="96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2.75" customHeight="1" spans="1:26">
      <c r="A878" s="95"/>
      <c r="B878" s="95"/>
      <c r="C878" s="96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2.75" customHeight="1" spans="1:26">
      <c r="A879" s="95"/>
      <c r="B879" s="95"/>
      <c r="C879" s="96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2.75" customHeight="1" spans="1:26">
      <c r="A880" s="95"/>
      <c r="B880" s="95"/>
      <c r="C880" s="96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2.75" customHeight="1" spans="1:26">
      <c r="A881" s="95"/>
      <c r="B881" s="95"/>
      <c r="C881" s="96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2.75" customHeight="1" spans="1:26">
      <c r="A882" s="95"/>
      <c r="B882" s="95"/>
      <c r="C882" s="96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2.75" customHeight="1" spans="1:26">
      <c r="A883" s="95"/>
      <c r="B883" s="95"/>
      <c r="C883" s="96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2.75" customHeight="1" spans="1:26">
      <c r="A884" s="95"/>
      <c r="B884" s="95"/>
      <c r="C884" s="96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2.75" customHeight="1" spans="1:26">
      <c r="A885" s="95"/>
      <c r="B885" s="95"/>
      <c r="C885" s="96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2.75" customHeight="1" spans="1:26">
      <c r="A886" s="95"/>
      <c r="B886" s="95"/>
      <c r="C886" s="96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2.75" customHeight="1" spans="1:26">
      <c r="A887" s="95"/>
      <c r="B887" s="95"/>
      <c r="C887" s="96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2.75" customHeight="1" spans="1:26">
      <c r="A888" s="95"/>
      <c r="B888" s="95"/>
      <c r="C888" s="96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2.75" customHeight="1" spans="1:26">
      <c r="A889" s="95"/>
      <c r="B889" s="95"/>
      <c r="C889" s="96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2.75" customHeight="1" spans="1:26">
      <c r="A890" s="95"/>
      <c r="B890" s="95"/>
      <c r="C890" s="96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2.75" customHeight="1" spans="1:26">
      <c r="A891" s="95"/>
      <c r="B891" s="95"/>
      <c r="C891" s="96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2.75" customHeight="1" spans="1:26">
      <c r="A892" s="95"/>
      <c r="B892" s="95"/>
      <c r="C892" s="96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2.75" customHeight="1" spans="1:26">
      <c r="A893" s="95"/>
      <c r="B893" s="95"/>
      <c r="C893" s="96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2.75" customHeight="1" spans="1:26">
      <c r="A894" s="95"/>
      <c r="B894" s="95"/>
      <c r="C894" s="96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2.75" customHeight="1" spans="1:26">
      <c r="A895" s="95"/>
      <c r="B895" s="95"/>
      <c r="C895" s="96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2.75" customHeight="1" spans="1:26">
      <c r="A896" s="95"/>
      <c r="B896" s="95"/>
      <c r="C896" s="96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2.75" customHeight="1" spans="1:26">
      <c r="A897" s="95"/>
      <c r="B897" s="95"/>
      <c r="C897" s="96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2.75" customHeight="1" spans="1:26">
      <c r="A898" s="95"/>
      <c r="B898" s="95"/>
      <c r="C898" s="96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2.75" customHeight="1" spans="1:26">
      <c r="A899" s="95"/>
      <c r="B899" s="95"/>
      <c r="C899" s="96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2.75" customHeight="1" spans="1:26">
      <c r="A900" s="95"/>
      <c r="B900" s="95"/>
      <c r="C900" s="96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2.75" customHeight="1" spans="1:26">
      <c r="A901" s="95"/>
      <c r="B901" s="95"/>
      <c r="C901" s="96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2.75" customHeight="1" spans="1:26">
      <c r="A902" s="95"/>
      <c r="B902" s="95"/>
      <c r="C902" s="96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2.75" customHeight="1" spans="1:26">
      <c r="A903" s="95"/>
      <c r="B903" s="95"/>
      <c r="C903" s="96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2.75" customHeight="1" spans="1:26">
      <c r="A904" s="95"/>
      <c r="B904" s="95"/>
      <c r="C904" s="96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2.75" customHeight="1" spans="1:26">
      <c r="A905" s="95"/>
      <c r="B905" s="95"/>
      <c r="C905" s="96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2.75" customHeight="1" spans="1:26">
      <c r="A906" s="95"/>
      <c r="B906" s="95"/>
      <c r="C906" s="96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2.75" customHeight="1" spans="1:26">
      <c r="A907" s="95"/>
      <c r="B907" s="95"/>
      <c r="C907" s="96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2.75" customHeight="1" spans="1:26">
      <c r="A908" s="95"/>
      <c r="B908" s="95"/>
      <c r="C908" s="96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2.75" customHeight="1" spans="1:26">
      <c r="A909" s="95"/>
      <c r="B909" s="95"/>
      <c r="C909" s="96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2.75" customHeight="1" spans="1:26">
      <c r="A910" s="95"/>
      <c r="B910" s="95"/>
      <c r="C910" s="96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2.75" customHeight="1" spans="1:26">
      <c r="A911" s="95"/>
      <c r="B911" s="95"/>
      <c r="C911" s="96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2.75" customHeight="1" spans="1:26">
      <c r="A912" s="95"/>
      <c r="B912" s="95"/>
      <c r="C912" s="96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2.75" customHeight="1" spans="1:26">
      <c r="A913" s="95"/>
      <c r="B913" s="95"/>
      <c r="C913" s="96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2.75" customHeight="1" spans="1:26">
      <c r="A914" s="95"/>
      <c r="B914" s="95"/>
      <c r="C914" s="96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2.75" customHeight="1" spans="1:26">
      <c r="A915" s="95"/>
      <c r="B915" s="95"/>
      <c r="C915" s="96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2.75" customHeight="1" spans="1:26">
      <c r="A916" s="95"/>
      <c r="B916" s="95"/>
      <c r="C916" s="96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2.75" customHeight="1" spans="1:26">
      <c r="A917" s="95"/>
      <c r="B917" s="95"/>
      <c r="C917" s="96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2.75" customHeight="1" spans="1:26">
      <c r="A918" s="95"/>
      <c r="B918" s="95"/>
      <c r="C918" s="96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2.75" customHeight="1" spans="1:26">
      <c r="A919" s="95"/>
      <c r="B919" s="95"/>
      <c r="C919" s="96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2.75" customHeight="1" spans="1:26">
      <c r="A920" s="95"/>
      <c r="B920" s="95"/>
      <c r="C920" s="96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2.75" customHeight="1" spans="1:26">
      <c r="A921" s="95"/>
      <c r="B921" s="95"/>
      <c r="C921" s="96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2.75" customHeight="1" spans="1:26">
      <c r="A922" s="95"/>
      <c r="B922" s="95"/>
      <c r="C922" s="96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2.75" customHeight="1" spans="1:26">
      <c r="A923" s="95"/>
      <c r="B923" s="95"/>
      <c r="C923" s="96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2.75" customHeight="1" spans="1:26">
      <c r="A924" s="95"/>
      <c r="B924" s="95"/>
      <c r="C924" s="96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2.75" customHeight="1" spans="1:26">
      <c r="A925" s="95"/>
      <c r="B925" s="95"/>
      <c r="C925" s="96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2.75" customHeight="1" spans="1:26">
      <c r="A926" s="95"/>
      <c r="B926" s="95"/>
      <c r="C926" s="96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2.75" customHeight="1" spans="1:26">
      <c r="A927" s="95"/>
      <c r="B927" s="95"/>
      <c r="C927" s="96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2.75" customHeight="1" spans="1:26">
      <c r="A928" s="95"/>
      <c r="B928" s="95"/>
      <c r="C928" s="96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2.75" customHeight="1" spans="1:26">
      <c r="A929" s="95"/>
      <c r="B929" s="95"/>
      <c r="C929" s="96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2.75" customHeight="1" spans="1:26">
      <c r="A930" s="95"/>
      <c r="B930" s="95"/>
      <c r="C930" s="96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2.75" customHeight="1" spans="1:26">
      <c r="A931" s="95"/>
      <c r="B931" s="95"/>
      <c r="C931" s="96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2.75" customHeight="1" spans="1:26">
      <c r="A932" s="95"/>
      <c r="B932" s="95"/>
      <c r="C932" s="96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2.75" customHeight="1" spans="1:26">
      <c r="A933" s="95"/>
      <c r="B933" s="95"/>
      <c r="C933" s="96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2.75" customHeight="1" spans="1:26">
      <c r="A934" s="95"/>
      <c r="B934" s="95"/>
      <c r="C934" s="96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2.75" customHeight="1" spans="1:26">
      <c r="A935" s="95"/>
      <c r="B935" s="95"/>
      <c r="C935" s="96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2.75" customHeight="1" spans="1:26">
      <c r="A936" s="95"/>
      <c r="B936" s="95"/>
      <c r="C936" s="96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2.75" customHeight="1" spans="1:26">
      <c r="A937" s="95"/>
      <c r="B937" s="95"/>
      <c r="C937" s="96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2.75" customHeight="1" spans="1:26">
      <c r="A938" s="95"/>
      <c r="B938" s="95"/>
      <c r="C938" s="96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2.75" customHeight="1" spans="1:26">
      <c r="A939" s="95"/>
      <c r="B939" s="95"/>
      <c r="C939" s="96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2.75" customHeight="1" spans="1:26">
      <c r="A940" s="95"/>
      <c r="B940" s="95"/>
      <c r="C940" s="96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2.75" customHeight="1" spans="1:26">
      <c r="A941" s="95"/>
      <c r="B941" s="95"/>
      <c r="C941" s="96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2.75" customHeight="1" spans="1:26">
      <c r="A942" s="95"/>
      <c r="B942" s="95"/>
      <c r="C942" s="96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2.75" customHeight="1" spans="1:26">
      <c r="A943" s="95"/>
      <c r="B943" s="95"/>
      <c r="C943" s="96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2.75" customHeight="1" spans="1:26">
      <c r="A944" s="95"/>
      <c r="B944" s="95"/>
      <c r="C944" s="96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2.75" customHeight="1" spans="1:26">
      <c r="A945" s="95"/>
      <c r="B945" s="95"/>
      <c r="C945" s="96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2.75" customHeight="1" spans="1:26">
      <c r="A946" s="95"/>
      <c r="B946" s="95"/>
      <c r="C946" s="96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2.75" customHeight="1" spans="1:26">
      <c r="A947" s="95"/>
      <c r="B947" s="95"/>
      <c r="C947" s="96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2.75" customHeight="1" spans="1:26">
      <c r="A948" s="95"/>
      <c r="B948" s="95"/>
      <c r="C948" s="96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2.75" customHeight="1" spans="1:26">
      <c r="A949" s="95"/>
      <c r="B949" s="95"/>
      <c r="C949" s="96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2.75" customHeight="1" spans="1:26">
      <c r="A950" s="95"/>
      <c r="B950" s="95"/>
      <c r="C950" s="96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2.75" customHeight="1" spans="1:26">
      <c r="A951" s="95"/>
      <c r="B951" s="95"/>
      <c r="C951" s="96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2.75" customHeight="1" spans="1:26">
      <c r="A952" s="95"/>
      <c r="B952" s="95"/>
      <c r="C952" s="96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2.75" customHeight="1" spans="1:26">
      <c r="A953" s="95"/>
      <c r="B953" s="95"/>
      <c r="C953" s="96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2.75" customHeight="1" spans="1:26">
      <c r="A954" s="95"/>
      <c r="B954" s="95"/>
      <c r="C954" s="96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2.75" customHeight="1" spans="1:26">
      <c r="A955" s="95"/>
      <c r="B955" s="95"/>
      <c r="C955" s="96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2.75" customHeight="1" spans="1:26">
      <c r="A956" s="95"/>
      <c r="B956" s="95"/>
      <c r="C956" s="96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2.75" customHeight="1" spans="1:26">
      <c r="A957" s="95"/>
      <c r="B957" s="95"/>
      <c r="C957" s="96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2.75" customHeight="1" spans="1:26">
      <c r="A958" s="95"/>
      <c r="B958" s="95"/>
      <c r="C958" s="96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2.75" customHeight="1" spans="1:26">
      <c r="A959" s="95"/>
      <c r="B959" s="95"/>
      <c r="C959" s="96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2.75" customHeight="1" spans="1:26">
      <c r="A960" s="95"/>
      <c r="B960" s="95"/>
      <c r="C960" s="96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2.75" customHeight="1" spans="1:26">
      <c r="A961" s="95"/>
      <c r="B961" s="95"/>
      <c r="C961" s="96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2.75" customHeight="1" spans="1:26">
      <c r="A962" s="95"/>
      <c r="B962" s="95"/>
      <c r="C962" s="96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2.75" customHeight="1" spans="1:26">
      <c r="A963" s="95"/>
      <c r="B963" s="95"/>
      <c r="C963" s="96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2.75" customHeight="1" spans="1:26">
      <c r="A964" s="95"/>
      <c r="B964" s="95"/>
      <c r="C964" s="96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2.75" customHeight="1" spans="1:26">
      <c r="A965" s="95"/>
      <c r="B965" s="95"/>
      <c r="C965" s="96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2.75" customHeight="1" spans="1:26">
      <c r="A966" s="95"/>
      <c r="B966" s="95"/>
      <c r="C966" s="96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2.75" customHeight="1" spans="1:26">
      <c r="A967" s="95"/>
      <c r="B967" s="95"/>
      <c r="C967" s="96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2.75" customHeight="1" spans="1:26">
      <c r="A968" s="95"/>
      <c r="B968" s="95"/>
      <c r="C968" s="96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2.75" customHeight="1" spans="1:26">
      <c r="A969" s="95"/>
      <c r="B969" s="95"/>
      <c r="C969" s="96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2.75" customHeight="1" spans="1:26">
      <c r="A970" s="95"/>
      <c r="B970" s="95"/>
      <c r="C970" s="96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2.75" customHeight="1" spans="1:26">
      <c r="A971" s="95"/>
      <c r="B971" s="95"/>
      <c r="C971" s="96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2.75" customHeight="1" spans="1:26">
      <c r="A972" s="95"/>
      <c r="B972" s="95"/>
      <c r="C972" s="96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2.75" customHeight="1" spans="1:26">
      <c r="A973" s="95"/>
      <c r="B973" s="95"/>
      <c r="C973" s="96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2.75" customHeight="1" spans="1:26">
      <c r="A974" s="95"/>
      <c r="B974" s="95"/>
      <c r="C974" s="96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2.75" customHeight="1" spans="1:26">
      <c r="A975" s="95"/>
      <c r="B975" s="95"/>
      <c r="C975" s="96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2.75" customHeight="1" spans="1:26">
      <c r="A976" s="95"/>
      <c r="B976" s="95"/>
      <c r="C976" s="96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2.75" customHeight="1" spans="1:26">
      <c r="A977" s="95"/>
      <c r="B977" s="95"/>
      <c r="C977" s="96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2.75" customHeight="1" spans="1:26">
      <c r="A978" s="95"/>
      <c r="B978" s="95"/>
      <c r="C978" s="96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2.75" customHeight="1" spans="1:26">
      <c r="A979" s="95"/>
      <c r="B979" s="95"/>
      <c r="C979" s="96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2.75" customHeight="1" spans="1:26">
      <c r="A980" s="95"/>
      <c r="B980" s="95"/>
      <c r="C980" s="96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2.75" customHeight="1" spans="1:26">
      <c r="A981" s="95"/>
      <c r="B981" s="95"/>
      <c r="C981" s="96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2.75" customHeight="1" spans="1:26">
      <c r="A982" s="95"/>
      <c r="B982" s="95"/>
      <c r="C982" s="96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2.75" customHeight="1" spans="1:26">
      <c r="A983" s="95"/>
      <c r="B983" s="95"/>
      <c r="C983" s="96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2.75" customHeight="1" spans="1:26">
      <c r="A984" s="95"/>
      <c r="B984" s="95"/>
      <c r="C984" s="96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2.75" customHeight="1" spans="1:26">
      <c r="A985" s="95"/>
      <c r="B985" s="95"/>
      <c r="C985" s="96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2.75" customHeight="1" spans="1:26">
      <c r="A986" s="95"/>
      <c r="B986" s="95"/>
      <c r="C986" s="96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2.75" customHeight="1" spans="1:26">
      <c r="A987" s="95"/>
      <c r="B987" s="95"/>
      <c r="C987" s="96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2.75" customHeight="1" spans="1:26">
      <c r="A988" s="95"/>
      <c r="B988" s="95"/>
      <c r="C988" s="96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2.75" customHeight="1" spans="1:26">
      <c r="A989" s="95"/>
      <c r="B989" s="95"/>
      <c r="C989" s="96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2.75" customHeight="1" spans="1:26">
      <c r="A990" s="95"/>
      <c r="B990" s="95"/>
      <c r="C990" s="96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2.75" customHeight="1" spans="1:26">
      <c r="A991" s="95"/>
      <c r="B991" s="95"/>
      <c r="C991" s="96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2.75" customHeight="1" spans="1:26">
      <c r="A992" s="95"/>
      <c r="B992" s="95"/>
      <c r="C992" s="96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2.75" customHeight="1" spans="1:26">
      <c r="A993" s="95"/>
      <c r="B993" s="95"/>
      <c r="C993" s="96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2.75" customHeight="1" spans="1:26">
      <c r="A994" s="95"/>
      <c r="B994" s="95"/>
      <c r="C994" s="96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2.75" customHeight="1" spans="1:26">
      <c r="A995" s="95"/>
      <c r="B995" s="95"/>
      <c r="C995" s="96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2.75" customHeight="1" spans="1:26">
      <c r="A996" s="95"/>
      <c r="B996" s="95"/>
      <c r="C996" s="96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2.75" customHeight="1" spans="1:26">
      <c r="A997" s="95"/>
      <c r="B997" s="95"/>
      <c r="C997" s="96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2.75" customHeight="1" spans="1:26">
      <c r="A998" s="95"/>
      <c r="B998" s="95"/>
      <c r="C998" s="96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2.75" customHeight="1" spans="1:26">
      <c r="A999" s="95"/>
      <c r="B999" s="95"/>
      <c r="C999" s="96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2.75" customHeight="1" spans="1:26">
      <c r="A1000" s="95"/>
      <c r="B1000" s="95"/>
      <c r="C1000" s="96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000"/>
  <sheetViews>
    <sheetView workbookViewId="0">
      <selection activeCell="A1" sqref="A1"/>
    </sheetView>
  </sheetViews>
  <sheetFormatPr defaultColWidth="14.4285714285714" defaultRowHeight="15" customHeight="1"/>
  <cols>
    <col min="1" max="1" width="17.8571428571429" customWidth="1"/>
    <col min="2" max="2" width="18.7142857142857" customWidth="1"/>
    <col min="3" max="3" width="22.8571428571429" customWidth="1"/>
    <col min="4" max="4" width="25.5714285714286" customWidth="1"/>
    <col min="5" max="5" width="18.2857142857143" customWidth="1"/>
    <col min="6" max="6" width="12.1428571428571" customWidth="1"/>
    <col min="7" max="7" width="8.71428571428571" customWidth="1"/>
    <col min="8" max="8" width="45.2857142857143" customWidth="1"/>
    <col min="9" max="9" width="21.7142857142857" customWidth="1"/>
  </cols>
  <sheetData>
    <row r="1" ht="15.75" customHeight="1" spans="1:1">
      <c r="A1" s="13" t="s">
        <v>8</v>
      </c>
    </row>
    <row r="2" ht="15.75" customHeight="1"/>
    <row r="3" ht="15.75" customHeight="1" spans="1:17">
      <c r="A3" s="13" t="str">
        <f>IFERROR(__xludf.DUMMYFUNCTION("QUERY('Lap Owner'!A1:T1006,""select A,B,C,D,G,H,I,J,K,L,M,N,O,P,Q,R,S WHERE (C= 'PT Satoria Aneka Industri')"", 1)"),"#REF!")</f>
        <v>#REF!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ht="15.75" customHeight="1" spans="1:17">
      <c r="A4" s="75"/>
      <c r="B4" s="13"/>
      <c r="C4" s="13"/>
      <c r="D4" s="13"/>
      <c r="E4" s="13"/>
      <c r="F4" s="13"/>
      <c r="G4" s="13"/>
      <c r="H4" s="13"/>
      <c r="I4" s="63"/>
      <c r="J4" s="63"/>
      <c r="K4" s="13"/>
      <c r="L4" s="13"/>
      <c r="M4" s="13"/>
      <c r="N4" s="77"/>
      <c r="O4" s="77"/>
      <c r="P4" s="62"/>
      <c r="Q4" s="13"/>
    </row>
    <row r="5" ht="15.75" customHeight="1" spans="1:17">
      <c r="A5" s="75"/>
      <c r="B5" s="13"/>
      <c r="C5" s="13"/>
      <c r="D5" s="13"/>
      <c r="E5" s="13"/>
      <c r="F5" s="13"/>
      <c r="G5" s="13"/>
      <c r="H5" s="13"/>
      <c r="I5" s="63"/>
      <c r="J5" s="63"/>
      <c r="K5" s="13"/>
      <c r="L5" s="13"/>
      <c r="M5" s="13"/>
      <c r="N5" s="77"/>
      <c r="O5" s="77"/>
      <c r="P5" s="62"/>
      <c r="Q5" s="13"/>
    </row>
    <row r="6" ht="15.75" customHeight="1" spans="1:17">
      <c r="A6" s="75"/>
      <c r="B6" s="13"/>
      <c r="C6" s="13"/>
      <c r="D6" s="13"/>
      <c r="E6" s="13"/>
      <c r="F6" s="13"/>
      <c r="G6" s="13"/>
      <c r="H6" s="13"/>
      <c r="I6" s="63"/>
      <c r="J6" s="63"/>
      <c r="K6" s="13"/>
      <c r="L6" s="13"/>
      <c r="M6" s="13"/>
      <c r="N6" s="77"/>
      <c r="O6" s="77"/>
      <c r="P6" s="62"/>
      <c r="Q6" s="13"/>
    </row>
    <row r="7" ht="15.75" customHeight="1" spans="1:17">
      <c r="A7" s="75"/>
      <c r="B7" s="13"/>
      <c r="C7" s="13"/>
      <c r="D7" s="13"/>
      <c r="E7" s="13"/>
      <c r="F7" s="13"/>
      <c r="G7" s="13"/>
      <c r="H7" s="13"/>
      <c r="I7" s="63"/>
      <c r="J7" s="63"/>
      <c r="K7" s="13"/>
      <c r="L7" s="13"/>
      <c r="M7" s="13"/>
      <c r="N7" s="77"/>
      <c r="O7" s="77"/>
      <c r="P7" s="62"/>
      <c r="Q7" s="13"/>
    </row>
    <row r="8" ht="15.75" customHeight="1" spans="1:17">
      <c r="A8" s="75"/>
      <c r="B8" s="13"/>
      <c r="C8" s="13"/>
      <c r="D8" s="13"/>
      <c r="E8" s="13"/>
      <c r="F8" s="13"/>
      <c r="G8" s="13"/>
      <c r="H8" s="13"/>
      <c r="I8" s="63"/>
      <c r="J8" s="63"/>
      <c r="K8" s="13"/>
      <c r="L8" s="13"/>
      <c r="M8" s="13"/>
      <c r="N8" s="77"/>
      <c r="O8" s="77"/>
      <c r="P8" s="62"/>
      <c r="Q8" s="13"/>
    </row>
    <row r="9" ht="15.75" customHeight="1" spans="1:17">
      <c r="A9" s="75"/>
      <c r="B9" s="13"/>
      <c r="C9" s="13"/>
      <c r="D9" s="13"/>
      <c r="E9" s="13"/>
      <c r="F9" s="13"/>
      <c r="G9" s="13"/>
      <c r="H9" s="13"/>
      <c r="I9" s="63"/>
      <c r="J9" s="63"/>
      <c r="K9" s="13"/>
      <c r="L9" s="13"/>
      <c r="M9" s="13"/>
      <c r="N9" s="77"/>
      <c r="O9" s="77"/>
      <c r="P9" s="62"/>
      <c r="Q9" s="13"/>
    </row>
    <row r="10" ht="15.75" customHeight="1" spans="1:17">
      <c r="A10" s="75"/>
      <c r="B10" s="13"/>
      <c r="C10" s="13"/>
      <c r="D10" s="13"/>
      <c r="E10" s="13"/>
      <c r="F10" s="13"/>
      <c r="G10" s="13"/>
      <c r="H10" s="13"/>
      <c r="I10" s="63"/>
      <c r="J10" s="63"/>
      <c r="K10" s="13"/>
      <c r="L10" s="13"/>
      <c r="M10" s="13"/>
      <c r="N10" s="77"/>
      <c r="O10" s="77"/>
      <c r="P10" s="62"/>
      <c r="Q10" s="13"/>
    </row>
    <row r="11" ht="15.75" customHeight="1" spans="1:17">
      <c r="A11" s="75"/>
      <c r="B11" s="13"/>
      <c r="C11" s="13"/>
      <c r="D11" s="13"/>
      <c r="E11" s="13"/>
      <c r="F11" s="13"/>
      <c r="G11" s="13"/>
      <c r="H11" s="13"/>
      <c r="I11" s="63"/>
      <c r="J11" s="63"/>
      <c r="K11" s="13"/>
      <c r="L11" s="13"/>
      <c r="M11" s="13"/>
      <c r="N11" s="77"/>
      <c r="O11" s="77"/>
      <c r="P11" s="62"/>
      <c r="Q11" s="13"/>
    </row>
    <row r="12" ht="15.75" customHeight="1" spans="1:17">
      <c r="A12" s="75"/>
      <c r="B12" s="13"/>
      <c r="C12" s="13"/>
      <c r="D12" s="13"/>
      <c r="E12" s="13"/>
      <c r="F12" s="13"/>
      <c r="G12" s="13"/>
      <c r="H12" s="13"/>
      <c r="I12" s="63"/>
      <c r="J12" s="63"/>
      <c r="K12" s="13"/>
      <c r="L12" s="13"/>
      <c r="M12" s="13"/>
      <c r="N12" s="77"/>
      <c r="O12" s="77"/>
      <c r="P12" s="62"/>
      <c r="Q12" s="13"/>
    </row>
    <row r="13" ht="15.75" customHeight="1" spans="1:17">
      <c r="A13" s="75"/>
      <c r="B13" s="13"/>
      <c r="C13" s="13"/>
      <c r="D13" s="13"/>
      <c r="E13" s="13"/>
      <c r="F13" s="13"/>
      <c r="G13" s="13"/>
      <c r="H13" s="13"/>
      <c r="I13" s="63"/>
      <c r="J13" s="63"/>
      <c r="K13" s="13"/>
      <c r="L13" s="13"/>
      <c r="M13" s="13"/>
      <c r="N13" s="77"/>
      <c r="O13" s="77"/>
      <c r="P13" s="62"/>
      <c r="Q13" s="13"/>
    </row>
    <row r="14" ht="15.75" customHeight="1" spans="1:17">
      <c r="A14" s="75"/>
      <c r="B14" s="13"/>
      <c r="C14" s="13"/>
      <c r="D14" s="13"/>
      <c r="E14" s="13"/>
      <c r="F14" s="13"/>
      <c r="G14" s="13"/>
      <c r="H14" s="13"/>
      <c r="I14" s="63"/>
      <c r="J14" s="63"/>
      <c r="K14" s="13"/>
      <c r="L14" s="13"/>
      <c r="M14" s="13"/>
      <c r="N14" s="77"/>
      <c r="O14" s="77"/>
      <c r="P14" s="62"/>
      <c r="Q14" s="13"/>
    </row>
    <row r="15" ht="15.75" customHeight="1" spans="1:17">
      <c r="A15" s="75"/>
      <c r="B15" s="13"/>
      <c r="C15" s="13"/>
      <c r="D15" s="13"/>
      <c r="E15" s="13"/>
      <c r="F15" s="13"/>
      <c r="G15" s="13"/>
      <c r="H15" s="13"/>
      <c r="I15" s="63"/>
      <c r="J15" s="63"/>
      <c r="K15" s="13"/>
      <c r="L15" s="13"/>
      <c r="M15" s="13"/>
      <c r="N15" s="77"/>
      <c r="O15" s="77"/>
      <c r="P15" s="62"/>
      <c r="Q15" s="13"/>
    </row>
    <row r="16" ht="15.75" customHeight="1" spans="1:17">
      <c r="A16" s="75"/>
      <c r="B16" s="13"/>
      <c r="C16" s="13"/>
      <c r="D16" s="13"/>
      <c r="E16" s="13"/>
      <c r="F16" s="13"/>
      <c r="G16" s="13"/>
      <c r="H16" s="13"/>
      <c r="I16" s="63"/>
      <c r="J16" s="63"/>
      <c r="K16" s="13"/>
      <c r="L16" s="13"/>
      <c r="M16" s="13"/>
      <c r="N16" s="77"/>
      <c r="O16" s="77"/>
      <c r="P16" s="62"/>
      <c r="Q16" s="13"/>
    </row>
    <row r="17" ht="15.75" customHeight="1" spans="1:17">
      <c r="A17" s="75"/>
      <c r="B17" s="13"/>
      <c r="C17" s="13"/>
      <c r="D17" s="13"/>
      <c r="E17" s="13"/>
      <c r="F17" s="13"/>
      <c r="G17" s="13"/>
      <c r="H17" s="13"/>
      <c r="I17" s="63"/>
      <c r="J17" s="63"/>
      <c r="K17" s="13"/>
      <c r="L17" s="13"/>
      <c r="M17" s="13"/>
      <c r="N17" s="77"/>
      <c r="O17" s="77"/>
      <c r="P17" s="62"/>
      <c r="Q17" s="13"/>
    </row>
    <row r="18" ht="15.75" customHeight="1" spans="1:17">
      <c r="A18" s="75"/>
      <c r="B18" s="13"/>
      <c r="C18" s="13"/>
      <c r="D18" s="13"/>
      <c r="E18" s="13"/>
      <c r="F18" s="13"/>
      <c r="G18" s="13"/>
      <c r="H18" s="13"/>
      <c r="I18" s="63"/>
      <c r="J18" s="63"/>
      <c r="K18" s="13"/>
      <c r="L18" s="13"/>
      <c r="M18" s="13"/>
      <c r="N18" s="77"/>
      <c r="O18" s="77"/>
      <c r="P18" s="62"/>
      <c r="Q18" s="13"/>
    </row>
    <row r="19" ht="15.75" customHeight="1" spans="1:17">
      <c r="A19" s="75"/>
      <c r="B19" s="13"/>
      <c r="C19" s="13"/>
      <c r="D19" s="13"/>
      <c r="E19" s="13"/>
      <c r="F19" s="13"/>
      <c r="G19" s="13"/>
      <c r="H19" s="13"/>
      <c r="I19" s="63"/>
      <c r="J19" s="63"/>
      <c r="K19" s="13"/>
      <c r="L19" s="13"/>
      <c r="M19" s="13"/>
      <c r="N19" s="77"/>
      <c r="O19" s="77"/>
      <c r="P19" s="62"/>
      <c r="Q19" s="13"/>
    </row>
    <row r="20" ht="15.75" customHeight="1" spans="1:17">
      <c r="A20" s="75"/>
      <c r="B20" s="13"/>
      <c r="C20" s="13"/>
      <c r="D20" s="13"/>
      <c r="E20" s="13"/>
      <c r="F20" s="13"/>
      <c r="G20" s="13"/>
      <c r="H20" s="13"/>
      <c r="I20" s="63"/>
      <c r="J20" s="63"/>
      <c r="K20" s="13"/>
      <c r="L20" s="13"/>
      <c r="M20" s="13"/>
      <c r="N20" s="77"/>
      <c r="O20" s="77"/>
      <c r="P20" s="62"/>
      <c r="Q20" s="13"/>
    </row>
    <row r="21" ht="15.75" customHeight="1" spans="1:17">
      <c r="A21" s="75"/>
      <c r="B21" s="13"/>
      <c r="C21" s="13"/>
      <c r="D21" s="13"/>
      <c r="E21" s="13"/>
      <c r="F21" s="13"/>
      <c r="G21" s="13"/>
      <c r="H21" s="13"/>
      <c r="I21" s="63"/>
      <c r="J21" s="63"/>
      <c r="K21" s="13"/>
      <c r="L21" s="13"/>
      <c r="M21" s="13"/>
      <c r="N21" s="77"/>
      <c r="O21" s="77"/>
      <c r="P21" s="62"/>
      <c r="Q21" s="13"/>
    </row>
    <row r="22" ht="15.75" customHeight="1" spans="1:17">
      <c r="A22" s="75"/>
      <c r="B22" s="13"/>
      <c r="C22" s="13"/>
      <c r="D22" s="13"/>
      <c r="E22" s="13"/>
      <c r="F22" s="13"/>
      <c r="G22" s="13"/>
      <c r="H22" s="13"/>
      <c r="I22" s="63"/>
      <c r="J22" s="63"/>
      <c r="K22" s="13"/>
      <c r="L22" s="13"/>
      <c r="M22" s="13"/>
      <c r="N22" s="77"/>
      <c r="O22" s="77"/>
      <c r="P22" s="62"/>
      <c r="Q22" s="13"/>
    </row>
    <row r="23" ht="15.75" customHeight="1" spans="1:17">
      <c r="A23" s="75"/>
      <c r="B23" s="13"/>
      <c r="C23" s="13"/>
      <c r="D23" s="13"/>
      <c r="E23" s="13"/>
      <c r="F23" s="13"/>
      <c r="G23" s="13"/>
      <c r="H23" s="13"/>
      <c r="I23" s="63"/>
      <c r="J23" s="63"/>
      <c r="K23" s="13"/>
      <c r="L23" s="13"/>
      <c r="M23" s="13"/>
      <c r="N23" s="77"/>
      <c r="O23" s="77"/>
      <c r="P23" s="62"/>
      <c r="Q23" s="13"/>
    </row>
    <row r="24" ht="15.75" customHeight="1" spans="1:17">
      <c r="A24" s="75"/>
      <c r="B24" s="13"/>
      <c r="C24" s="13"/>
      <c r="D24" s="13"/>
      <c r="E24" s="13"/>
      <c r="F24" s="13"/>
      <c r="G24" s="13"/>
      <c r="H24" s="13"/>
      <c r="I24" s="63"/>
      <c r="J24" s="63"/>
      <c r="K24" s="13"/>
      <c r="L24" s="13"/>
      <c r="M24" s="13"/>
      <c r="N24" s="77"/>
      <c r="O24" s="77"/>
      <c r="P24" s="62"/>
      <c r="Q24" s="13"/>
    </row>
    <row r="25" ht="15.75" customHeight="1" spans="1:17">
      <c r="A25" s="75"/>
      <c r="B25" s="13"/>
      <c r="C25" s="13"/>
      <c r="D25" s="13"/>
      <c r="E25" s="13"/>
      <c r="F25" s="13"/>
      <c r="G25" s="13"/>
      <c r="H25" s="13"/>
      <c r="I25" s="63"/>
      <c r="J25" s="63"/>
      <c r="K25" s="13"/>
      <c r="L25" s="13"/>
      <c r="M25" s="13"/>
      <c r="N25" s="77"/>
      <c r="O25" s="77"/>
      <c r="P25" s="62"/>
      <c r="Q25" s="13"/>
    </row>
    <row r="26" ht="15.75" customHeight="1" spans="1:17">
      <c r="A26" s="75"/>
      <c r="B26" s="13"/>
      <c r="C26" s="13"/>
      <c r="D26" s="13"/>
      <c r="E26" s="13"/>
      <c r="F26" s="13"/>
      <c r="G26" s="13"/>
      <c r="H26" s="13"/>
      <c r="I26" s="63"/>
      <c r="J26" s="63"/>
      <c r="K26" s="13"/>
      <c r="L26" s="13"/>
      <c r="M26" s="13"/>
      <c r="N26" s="77"/>
      <c r="O26" s="77"/>
      <c r="P26" s="62"/>
      <c r="Q26" s="13"/>
    </row>
    <row r="27" ht="15.75" customHeight="1" spans="1:17">
      <c r="A27" s="75"/>
      <c r="B27" s="13"/>
      <c r="C27" s="13"/>
      <c r="D27" s="13"/>
      <c r="E27" s="13"/>
      <c r="F27" s="13"/>
      <c r="G27" s="13"/>
      <c r="H27" s="13"/>
      <c r="I27" s="63"/>
      <c r="J27" s="63"/>
      <c r="K27" s="13"/>
      <c r="L27" s="13"/>
      <c r="M27" s="13"/>
      <c r="N27" s="77"/>
      <c r="O27" s="77"/>
      <c r="P27" s="62"/>
      <c r="Q27" s="13"/>
    </row>
    <row r="28" ht="15.75" customHeight="1" spans="1:17">
      <c r="A28" s="75"/>
      <c r="B28" s="13"/>
      <c r="C28" s="13"/>
      <c r="D28" s="13"/>
      <c r="E28" s="13"/>
      <c r="F28" s="13"/>
      <c r="G28" s="13"/>
      <c r="H28" s="13"/>
      <c r="I28" s="63"/>
      <c r="J28" s="63"/>
      <c r="K28" s="13"/>
      <c r="L28" s="13"/>
      <c r="M28" s="13"/>
      <c r="N28" s="77"/>
      <c r="O28" s="77"/>
      <c r="P28" s="62"/>
      <c r="Q28" s="13"/>
    </row>
    <row r="29" ht="15.75" customHeight="1" spans="1:17">
      <c r="A29" s="75"/>
      <c r="B29" s="13"/>
      <c r="C29" s="13"/>
      <c r="D29" s="13"/>
      <c r="E29" s="13"/>
      <c r="F29" s="13"/>
      <c r="G29" s="13"/>
      <c r="H29" s="13"/>
      <c r="I29" s="63"/>
      <c r="J29" s="63"/>
      <c r="K29" s="13"/>
      <c r="L29" s="13"/>
      <c r="M29" s="13"/>
      <c r="N29" s="77"/>
      <c r="O29" s="77"/>
      <c r="P29" s="62"/>
      <c r="Q29" s="13"/>
    </row>
    <row r="30" ht="15.75" customHeight="1" spans="1:17">
      <c r="A30" s="75"/>
      <c r="B30" s="13"/>
      <c r="C30" s="13"/>
      <c r="D30" s="13"/>
      <c r="E30" s="13"/>
      <c r="F30" s="13"/>
      <c r="G30" s="13"/>
      <c r="H30" s="13"/>
      <c r="I30" s="63"/>
      <c r="J30" s="63"/>
      <c r="K30" s="13"/>
      <c r="L30" s="13"/>
      <c r="M30" s="13"/>
      <c r="N30" s="77"/>
      <c r="O30" s="77"/>
      <c r="P30" s="62"/>
      <c r="Q30" s="13"/>
    </row>
    <row r="31" ht="15.75" customHeight="1" spans="1:17">
      <c r="A31" s="75"/>
      <c r="B31" s="13"/>
      <c r="C31" s="13"/>
      <c r="D31" s="13"/>
      <c r="E31" s="13"/>
      <c r="F31" s="13"/>
      <c r="G31" s="13"/>
      <c r="H31" s="13"/>
      <c r="I31" s="63"/>
      <c r="J31" s="63"/>
      <c r="K31" s="13"/>
      <c r="L31" s="13"/>
      <c r="M31" s="13"/>
      <c r="N31" s="77"/>
      <c r="O31" s="77"/>
      <c r="P31" s="62"/>
      <c r="Q31" s="13"/>
    </row>
    <row r="32" ht="15.75" customHeight="1" spans="1:17">
      <c r="A32" s="75"/>
      <c r="B32" s="13"/>
      <c r="C32" s="13"/>
      <c r="D32" s="13"/>
      <c r="E32" s="13"/>
      <c r="F32" s="13"/>
      <c r="G32" s="13"/>
      <c r="H32" s="13"/>
      <c r="I32" s="63"/>
      <c r="J32" s="63"/>
      <c r="K32" s="13"/>
      <c r="L32" s="13"/>
      <c r="M32" s="13"/>
      <c r="N32" s="77"/>
      <c r="O32" s="77"/>
      <c r="P32" s="62"/>
      <c r="Q32" s="13"/>
    </row>
    <row r="33" ht="15.75" customHeight="1" spans="1:17">
      <c r="A33" s="75"/>
      <c r="B33" s="13"/>
      <c r="C33" s="13"/>
      <c r="D33" s="13"/>
      <c r="E33" s="13"/>
      <c r="F33" s="13"/>
      <c r="G33" s="13"/>
      <c r="H33" s="13"/>
      <c r="I33" s="63"/>
      <c r="J33" s="63"/>
      <c r="K33" s="13"/>
      <c r="L33" s="13"/>
      <c r="M33" s="13"/>
      <c r="N33" s="77"/>
      <c r="O33" s="77"/>
      <c r="P33" s="62"/>
      <c r="Q33" s="13"/>
    </row>
    <row r="34" ht="15.75" customHeight="1" spans="1:17">
      <c r="A34" s="75"/>
      <c r="B34" s="13"/>
      <c r="C34" s="13"/>
      <c r="D34" s="13"/>
      <c r="E34" s="13"/>
      <c r="F34" s="13"/>
      <c r="G34" s="13"/>
      <c r="H34" s="13"/>
      <c r="I34" s="63"/>
      <c r="J34" s="63"/>
      <c r="K34" s="13"/>
      <c r="L34" s="13"/>
      <c r="M34" s="13"/>
      <c r="N34" s="77"/>
      <c r="O34" s="77"/>
      <c r="P34" s="62"/>
      <c r="Q34" s="13"/>
    </row>
    <row r="35" ht="15.75" customHeight="1" spans="1:17">
      <c r="A35" s="75"/>
      <c r="B35" s="13"/>
      <c r="C35" s="13"/>
      <c r="D35" s="13"/>
      <c r="E35" s="13"/>
      <c r="F35" s="13"/>
      <c r="G35" s="13"/>
      <c r="H35" s="13"/>
      <c r="I35" s="63"/>
      <c r="J35" s="63"/>
      <c r="K35" s="13"/>
      <c r="L35" s="13"/>
      <c r="M35" s="13"/>
      <c r="N35" s="77"/>
      <c r="O35" s="77"/>
      <c r="P35" s="62"/>
      <c r="Q35" s="13"/>
    </row>
    <row r="36" ht="15.75" customHeight="1" spans="1:17">
      <c r="A36" s="75"/>
      <c r="B36" s="13"/>
      <c r="C36" s="13"/>
      <c r="D36" s="13"/>
      <c r="E36" s="13"/>
      <c r="F36" s="13"/>
      <c r="G36" s="13"/>
      <c r="H36" s="76"/>
      <c r="I36" s="63"/>
      <c r="J36" s="63"/>
      <c r="K36" s="13"/>
      <c r="L36" s="13"/>
      <c r="M36" s="13"/>
      <c r="N36" s="77"/>
      <c r="O36" s="77"/>
      <c r="P36" s="62"/>
      <c r="Q36" s="13"/>
    </row>
    <row r="37" ht="15.75" customHeight="1" spans="1:17">
      <c r="A37" s="75"/>
      <c r="B37" s="13"/>
      <c r="C37" s="13"/>
      <c r="D37" s="13"/>
      <c r="E37" s="13"/>
      <c r="F37" s="13"/>
      <c r="G37" s="13"/>
      <c r="H37" s="13"/>
      <c r="I37" s="63"/>
      <c r="J37" s="63"/>
      <c r="K37" s="13"/>
      <c r="L37" s="13"/>
      <c r="M37" s="13"/>
      <c r="N37" s="77"/>
      <c r="O37" s="77"/>
      <c r="P37" s="62"/>
      <c r="Q37" s="13"/>
    </row>
    <row r="38" ht="15.75" customHeight="1" spans="1:17">
      <c r="A38" s="75"/>
      <c r="B38" s="13"/>
      <c r="C38" s="13"/>
      <c r="D38" s="13"/>
      <c r="E38" s="13"/>
      <c r="F38" s="13"/>
      <c r="G38" s="13"/>
      <c r="H38" s="13"/>
      <c r="I38" s="63"/>
      <c r="J38" s="63"/>
      <c r="K38" s="13"/>
      <c r="L38" s="13"/>
      <c r="M38" s="13"/>
      <c r="N38" s="77"/>
      <c r="O38" s="77"/>
      <c r="P38" s="62"/>
      <c r="Q38" s="13"/>
    </row>
    <row r="39" ht="15.75" customHeight="1" spans="1:17">
      <c r="A39" s="75"/>
      <c r="B39" s="13"/>
      <c r="C39" s="13"/>
      <c r="D39" s="13"/>
      <c r="E39" s="13"/>
      <c r="F39" s="13"/>
      <c r="G39" s="13"/>
      <c r="H39" s="13"/>
      <c r="I39" s="63"/>
      <c r="J39" s="63"/>
      <c r="K39" s="13"/>
      <c r="L39" s="13"/>
      <c r="M39" s="13"/>
      <c r="N39" s="77"/>
      <c r="O39" s="77"/>
      <c r="P39" s="62"/>
      <c r="Q39" s="13"/>
    </row>
    <row r="40" ht="15.75" customHeight="1" spans="1:17">
      <c r="A40" s="75"/>
      <c r="B40" s="13"/>
      <c r="C40" s="13"/>
      <c r="D40" s="13"/>
      <c r="E40" s="13"/>
      <c r="F40" s="13"/>
      <c r="G40" s="13"/>
      <c r="H40" s="13"/>
      <c r="I40" s="63"/>
      <c r="J40" s="63"/>
      <c r="K40" s="13"/>
      <c r="L40" s="13"/>
      <c r="M40" s="13"/>
      <c r="N40" s="77"/>
      <c r="O40" s="77"/>
      <c r="P40" s="62"/>
      <c r="Q40" s="13"/>
    </row>
    <row r="41" ht="15.75" customHeight="1" spans="1:17">
      <c r="A41" s="75"/>
      <c r="B41" s="13"/>
      <c r="C41" s="13"/>
      <c r="D41" s="13"/>
      <c r="E41" s="13"/>
      <c r="F41" s="13"/>
      <c r="G41" s="13"/>
      <c r="H41" s="13"/>
      <c r="I41" s="63"/>
      <c r="J41" s="63"/>
      <c r="K41" s="13"/>
      <c r="L41" s="13"/>
      <c r="M41" s="13"/>
      <c r="N41" s="77"/>
      <c r="O41" s="77"/>
      <c r="P41" s="62"/>
      <c r="Q41" s="13"/>
    </row>
    <row r="42" ht="15.75" customHeight="1" spans="1:17">
      <c r="A42" s="75"/>
      <c r="B42" s="13"/>
      <c r="C42" s="13"/>
      <c r="D42" s="13"/>
      <c r="E42" s="13"/>
      <c r="F42" s="13"/>
      <c r="G42" s="13"/>
      <c r="H42" s="13"/>
      <c r="I42" s="63"/>
      <c r="J42" s="63"/>
      <c r="K42" s="13"/>
      <c r="L42" s="13"/>
      <c r="M42" s="13"/>
      <c r="N42" s="77"/>
      <c r="O42" s="77"/>
      <c r="P42" s="62"/>
      <c r="Q42" s="13"/>
    </row>
    <row r="43" ht="15.75" customHeight="1" spans="1:17">
      <c r="A43" s="75"/>
      <c r="B43" s="13"/>
      <c r="C43" s="13"/>
      <c r="D43" s="13"/>
      <c r="E43" s="13"/>
      <c r="F43" s="13"/>
      <c r="G43" s="13"/>
      <c r="H43" s="13"/>
      <c r="I43" s="63"/>
      <c r="J43" s="63"/>
      <c r="K43" s="13"/>
      <c r="L43" s="13"/>
      <c r="M43" s="13"/>
      <c r="N43" s="77"/>
      <c r="O43" s="77"/>
      <c r="P43" s="62"/>
      <c r="Q43" s="13"/>
    </row>
    <row r="44" ht="15.75" customHeight="1" spans="1:17">
      <c r="A44" s="75"/>
      <c r="B44" s="13"/>
      <c r="C44" s="13"/>
      <c r="D44" s="13"/>
      <c r="E44" s="13"/>
      <c r="F44" s="13"/>
      <c r="G44" s="13"/>
      <c r="H44" s="13"/>
      <c r="I44" s="63"/>
      <c r="J44" s="63"/>
      <c r="K44" s="13"/>
      <c r="L44" s="13"/>
      <c r="M44" s="13"/>
      <c r="N44" s="77"/>
      <c r="O44" s="77"/>
      <c r="P44" s="62"/>
      <c r="Q44" s="13"/>
    </row>
    <row r="45" ht="15.75" customHeight="1" spans="1:17">
      <c r="A45" s="75"/>
      <c r="B45" s="13"/>
      <c r="C45" s="13"/>
      <c r="D45" s="13"/>
      <c r="E45" s="13"/>
      <c r="F45" s="13"/>
      <c r="G45" s="13"/>
      <c r="H45" s="13"/>
      <c r="I45" s="63"/>
      <c r="J45" s="63"/>
      <c r="K45" s="13"/>
      <c r="L45" s="13"/>
      <c r="M45" s="13"/>
      <c r="N45" s="77"/>
      <c r="O45" s="77"/>
      <c r="P45" s="62"/>
      <c r="Q45" s="13"/>
    </row>
    <row r="46" ht="15.75" customHeight="1" spans="1:17">
      <c r="A46" s="75"/>
      <c r="B46" s="13"/>
      <c r="C46" s="13"/>
      <c r="D46" s="13"/>
      <c r="E46" s="13"/>
      <c r="F46" s="13"/>
      <c r="G46" s="13"/>
      <c r="H46" s="13"/>
      <c r="I46" s="63"/>
      <c r="J46" s="63"/>
      <c r="K46" s="13"/>
      <c r="L46" s="13"/>
      <c r="M46" s="13"/>
      <c r="N46" s="77"/>
      <c r="O46" s="77"/>
      <c r="P46" s="62"/>
      <c r="Q46" s="13"/>
    </row>
    <row r="47" ht="15.75" customHeight="1" spans="1:17">
      <c r="A47" s="75"/>
      <c r="B47" s="13"/>
      <c r="C47" s="13"/>
      <c r="D47" s="13"/>
      <c r="E47" s="13"/>
      <c r="F47" s="13"/>
      <c r="G47" s="13"/>
      <c r="H47" s="13"/>
      <c r="I47" s="63"/>
      <c r="J47" s="63"/>
      <c r="K47" s="13"/>
      <c r="L47" s="13"/>
      <c r="M47" s="13"/>
      <c r="N47" s="77"/>
      <c r="O47" s="77"/>
      <c r="P47" s="62"/>
      <c r="Q47" s="13"/>
    </row>
    <row r="48" ht="15.75" customHeight="1" spans="1:17">
      <c r="A48" s="75"/>
      <c r="B48" s="13"/>
      <c r="C48" s="13"/>
      <c r="D48" s="13"/>
      <c r="E48" s="13"/>
      <c r="F48" s="13"/>
      <c r="G48" s="13"/>
      <c r="H48" s="13"/>
      <c r="I48" s="63"/>
      <c r="J48" s="63"/>
      <c r="K48" s="13"/>
      <c r="L48" s="13"/>
      <c r="M48" s="13"/>
      <c r="N48" s="77"/>
      <c r="O48" s="77"/>
      <c r="P48" s="62"/>
      <c r="Q48" s="13"/>
    </row>
    <row r="49" ht="15.75" customHeight="1" spans="1:17">
      <c r="A49" s="75"/>
      <c r="B49" s="13"/>
      <c r="C49" s="13"/>
      <c r="D49" s="13"/>
      <c r="E49" s="13"/>
      <c r="F49" s="13"/>
      <c r="G49" s="13"/>
      <c r="H49" s="13"/>
      <c r="I49" s="63"/>
      <c r="J49" s="63"/>
      <c r="K49" s="13"/>
      <c r="L49" s="13"/>
      <c r="M49" s="13"/>
      <c r="N49" s="77"/>
      <c r="O49" s="77"/>
      <c r="P49" s="62"/>
      <c r="Q49" s="13"/>
    </row>
    <row r="50" ht="15.75" customHeight="1" spans="1:17">
      <c r="A50" s="75"/>
      <c r="B50" s="13"/>
      <c r="C50" s="13"/>
      <c r="D50" s="13"/>
      <c r="E50" s="13"/>
      <c r="F50" s="13"/>
      <c r="G50" s="13"/>
      <c r="H50" s="13"/>
      <c r="I50" s="63"/>
      <c r="J50" s="63"/>
      <c r="K50" s="13"/>
      <c r="L50" s="13"/>
      <c r="M50" s="13"/>
      <c r="N50" s="77"/>
      <c r="O50" s="77"/>
      <c r="P50" s="62"/>
      <c r="Q50" s="13"/>
    </row>
    <row r="51" ht="15.75" customHeight="1" spans="1:17">
      <c r="A51" s="75"/>
      <c r="B51" s="13"/>
      <c r="C51" s="13"/>
      <c r="D51" s="13"/>
      <c r="E51" s="13"/>
      <c r="F51" s="13"/>
      <c r="G51" s="13"/>
      <c r="H51" s="13"/>
      <c r="I51" s="63"/>
      <c r="J51" s="63"/>
      <c r="K51" s="13"/>
      <c r="L51" s="13"/>
      <c r="M51" s="13"/>
      <c r="N51" s="77"/>
      <c r="O51" s="77"/>
      <c r="P51" s="62"/>
      <c r="Q51" s="13"/>
    </row>
    <row r="52" ht="15.75" customHeight="1" spans="1:17">
      <c r="A52" s="75"/>
      <c r="B52" s="13"/>
      <c r="C52" s="13"/>
      <c r="D52" s="13"/>
      <c r="E52" s="13"/>
      <c r="F52" s="13"/>
      <c r="G52" s="13"/>
      <c r="H52" s="13"/>
      <c r="I52" s="63"/>
      <c r="J52" s="63"/>
      <c r="K52" s="13"/>
      <c r="L52" s="13"/>
      <c r="M52" s="13"/>
      <c r="N52" s="77"/>
      <c r="O52" s="77"/>
      <c r="P52" s="62"/>
      <c r="Q52" s="13"/>
    </row>
    <row r="53" ht="15.75" customHeight="1" spans="1:17">
      <c r="A53" s="75"/>
      <c r="B53" s="13"/>
      <c r="C53" s="13"/>
      <c r="D53" s="13"/>
      <c r="E53" s="13"/>
      <c r="F53" s="13"/>
      <c r="G53" s="13"/>
      <c r="H53" s="13"/>
      <c r="I53" s="63"/>
      <c r="J53" s="63"/>
      <c r="K53" s="13"/>
      <c r="L53" s="13"/>
      <c r="M53" s="13"/>
      <c r="N53" s="77"/>
      <c r="O53" s="77"/>
      <c r="P53" s="62"/>
      <c r="Q53" s="13"/>
    </row>
    <row r="54" ht="15.75" customHeight="1" spans="1:17">
      <c r="A54" s="75"/>
      <c r="B54" s="13"/>
      <c r="C54" s="13"/>
      <c r="D54" s="13"/>
      <c r="E54" s="13"/>
      <c r="F54" s="13"/>
      <c r="G54" s="13"/>
      <c r="H54" s="13"/>
      <c r="I54" s="63"/>
      <c r="J54" s="63"/>
      <c r="K54" s="13"/>
      <c r="L54" s="13"/>
      <c r="M54" s="13"/>
      <c r="N54" s="77"/>
      <c r="O54" s="77"/>
      <c r="P54" s="62"/>
      <c r="Q54" s="13"/>
    </row>
    <row r="55" ht="15.75" customHeight="1" spans="1:17">
      <c r="A55" s="75"/>
      <c r="B55" s="13"/>
      <c r="C55" s="13"/>
      <c r="D55" s="13"/>
      <c r="E55" s="13"/>
      <c r="F55" s="13"/>
      <c r="G55" s="13"/>
      <c r="H55" s="13"/>
      <c r="I55" s="63"/>
      <c r="J55" s="63"/>
      <c r="K55" s="13"/>
      <c r="L55" s="13"/>
      <c r="M55" s="13"/>
      <c r="N55" s="77"/>
      <c r="O55" s="77"/>
      <c r="P55" s="62"/>
      <c r="Q55" s="13"/>
    </row>
    <row r="56" ht="15.75" customHeight="1" spans="1:17">
      <c r="A56" s="75"/>
      <c r="B56" s="13"/>
      <c r="C56" s="13"/>
      <c r="D56" s="13"/>
      <c r="E56" s="13"/>
      <c r="F56" s="13"/>
      <c r="G56" s="13"/>
      <c r="H56" s="13"/>
      <c r="I56" s="63"/>
      <c r="J56" s="63"/>
      <c r="K56" s="13"/>
      <c r="L56" s="13"/>
      <c r="M56" s="13"/>
      <c r="N56" s="77"/>
      <c r="O56" s="77"/>
      <c r="P56" s="62"/>
      <c r="Q56" s="13"/>
    </row>
    <row r="57" ht="15.75" customHeight="1" spans="1:17">
      <c r="A57" s="75"/>
      <c r="B57" s="13"/>
      <c r="C57" s="13"/>
      <c r="D57" s="13"/>
      <c r="E57" s="13"/>
      <c r="F57" s="13"/>
      <c r="G57" s="13"/>
      <c r="H57" s="13"/>
      <c r="I57" s="63"/>
      <c r="J57" s="63"/>
      <c r="K57" s="13"/>
      <c r="L57" s="13"/>
      <c r="M57" s="13"/>
      <c r="N57" s="77"/>
      <c r="O57" s="77"/>
      <c r="P57" s="62"/>
      <c r="Q57" s="13"/>
    </row>
    <row r="58" ht="15.75" customHeight="1" spans="1:17">
      <c r="A58" s="75"/>
      <c r="B58" s="13"/>
      <c r="C58" s="13"/>
      <c r="D58" s="13"/>
      <c r="E58" s="13"/>
      <c r="F58" s="13"/>
      <c r="G58" s="13"/>
      <c r="H58" s="13"/>
      <c r="I58" s="63"/>
      <c r="J58" s="63"/>
      <c r="K58" s="13"/>
      <c r="L58" s="13"/>
      <c r="M58" s="13"/>
      <c r="N58" s="77"/>
      <c r="O58" s="77"/>
      <c r="P58" s="62"/>
      <c r="Q58" s="13"/>
    </row>
    <row r="59" ht="15.75" customHeight="1" spans="1:17">
      <c r="A59" s="75"/>
      <c r="B59" s="13"/>
      <c r="C59" s="13"/>
      <c r="D59" s="13"/>
      <c r="E59" s="13"/>
      <c r="F59" s="13"/>
      <c r="G59" s="13"/>
      <c r="H59" s="13"/>
      <c r="I59" s="63"/>
      <c r="J59" s="63"/>
      <c r="K59" s="13"/>
      <c r="L59" s="13"/>
      <c r="M59" s="13"/>
      <c r="N59" s="77"/>
      <c r="O59" s="77"/>
      <c r="P59" s="62"/>
      <c r="Q59" s="13"/>
    </row>
    <row r="60" ht="15.75" customHeight="1" spans="1:17">
      <c r="A60" s="75"/>
      <c r="B60" s="13"/>
      <c r="C60" s="13"/>
      <c r="D60" s="13"/>
      <c r="E60" s="13"/>
      <c r="F60" s="13"/>
      <c r="G60" s="13"/>
      <c r="H60" s="13"/>
      <c r="I60" s="63"/>
      <c r="J60" s="63"/>
      <c r="K60" s="13"/>
      <c r="L60" s="13"/>
      <c r="M60" s="13"/>
      <c r="N60" s="77"/>
      <c r="O60" s="77"/>
      <c r="P60" s="62"/>
      <c r="Q60" s="13"/>
    </row>
    <row r="61" ht="15.75" customHeight="1" spans="1:17">
      <c r="A61" s="75"/>
      <c r="B61" s="13"/>
      <c r="C61" s="13"/>
      <c r="D61" s="13"/>
      <c r="E61" s="13"/>
      <c r="F61" s="13"/>
      <c r="G61" s="13"/>
      <c r="H61" s="13"/>
      <c r="I61" s="63"/>
      <c r="J61" s="63"/>
      <c r="K61" s="13"/>
      <c r="L61" s="13"/>
      <c r="M61" s="13"/>
      <c r="N61" s="77"/>
      <c r="O61" s="77"/>
      <c r="P61" s="62"/>
      <c r="Q61" s="13"/>
    </row>
    <row r="62" ht="15.75" customHeight="1" spans="1:17">
      <c r="A62" s="75"/>
      <c r="B62" s="13"/>
      <c r="C62" s="13"/>
      <c r="D62" s="13"/>
      <c r="E62" s="13"/>
      <c r="F62" s="13"/>
      <c r="G62" s="13"/>
      <c r="H62" s="13"/>
      <c r="I62" s="63"/>
      <c r="J62" s="63"/>
      <c r="K62" s="13"/>
      <c r="L62" s="13"/>
      <c r="M62" s="13"/>
      <c r="N62" s="77"/>
      <c r="O62" s="77"/>
      <c r="P62" s="62"/>
      <c r="Q62" s="13"/>
    </row>
    <row r="63" ht="15.75" customHeight="1" spans="1:17">
      <c r="A63" s="75"/>
      <c r="B63" s="13"/>
      <c r="C63" s="13"/>
      <c r="D63" s="13"/>
      <c r="E63" s="13"/>
      <c r="F63" s="13"/>
      <c r="G63" s="13"/>
      <c r="H63" s="13"/>
      <c r="I63" s="63"/>
      <c r="J63" s="63"/>
      <c r="K63" s="13"/>
      <c r="L63" s="13"/>
      <c r="M63" s="13"/>
      <c r="N63" s="77"/>
      <c r="O63" s="77"/>
      <c r="P63" s="62"/>
      <c r="Q63" s="13"/>
    </row>
    <row r="64" ht="15.75" customHeight="1" spans="1:17">
      <c r="A64" s="75"/>
      <c r="B64" s="13"/>
      <c r="C64" s="13"/>
      <c r="D64" s="13"/>
      <c r="E64" s="13"/>
      <c r="F64" s="13"/>
      <c r="G64" s="13"/>
      <c r="H64" s="13"/>
      <c r="I64" s="63"/>
      <c r="J64" s="63"/>
      <c r="K64" s="13"/>
      <c r="L64" s="13"/>
      <c r="M64" s="13"/>
      <c r="N64" s="77"/>
      <c r="O64" s="77"/>
      <c r="P64" s="62"/>
      <c r="Q64" s="13"/>
    </row>
    <row r="65" ht="15.75" customHeight="1" spans="1:17">
      <c r="A65" s="75"/>
      <c r="B65" s="13"/>
      <c r="C65" s="13"/>
      <c r="D65" s="13"/>
      <c r="E65" s="13"/>
      <c r="F65" s="13"/>
      <c r="G65" s="13"/>
      <c r="H65" s="13"/>
      <c r="I65" s="63"/>
      <c r="J65" s="63"/>
      <c r="K65" s="13"/>
      <c r="L65" s="13"/>
      <c r="M65" s="13"/>
      <c r="N65" s="77"/>
      <c r="O65" s="77"/>
      <c r="P65" s="62"/>
      <c r="Q65" s="13"/>
    </row>
    <row r="66" ht="15.75" customHeight="1" spans="1:17">
      <c r="A66" s="75"/>
      <c r="B66" s="13"/>
      <c r="C66" s="13"/>
      <c r="D66" s="13"/>
      <c r="E66" s="13"/>
      <c r="F66" s="13"/>
      <c r="G66" s="13"/>
      <c r="H66" s="13"/>
      <c r="I66" s="63"/>
      <c r="J66" s="63"/>
      <c r="K66" s="13"/>
      <c r="L66" s="13"/>
      <c r="M66" s="13"/>
      <c r="N66" s="77"/>
      <c r="O66" s="77"/>
      <c r="P66" s="62"/>
      <c r="Q66" s="13"/>
    </row>
    <row r="67" ht="15.75" customHeight="1" spans="1:17">
      <c r="A67" s="75"/>
      <c r="B67" s="13"/>
      <c r="C67" s="13"/>
      <c r="D67" s="13"/>
      <c r="E67" s="13"/>
      <c r="F67" s="13"/>
      <c r="G67" s="13"/>
      <c r="H67" s="13"/>
      <c r="I67" s="63"/>
      <c r="J67" s="63"/>
      <c r="K67" s="13"/>
      <c r="L67" s="13"/>
      <c r="M67" s="13"/>
      <c r="N67" s="77"/>
      <c r="O67" s="77"/>
      <c r="P67" s="62"/>
      <c r="Q67" s="13"/>
    </row>
    <row r="68" ht="15.75" customHeight="1" spans="1:17">
      <c r="A68" s="75"/>
      <c r="B68" s="13"/>
      <c r="C68" s="13"/>
      <c r="D68" s="13"/>
      <c r="E68" s="13"/>
      <c r="F68" s="13"/>
      <c r="G68" s="13"/>
      <c r="H68" s="13"/>
      <c r="I68" s="63"/>
      <c r="J68" s="63"/>
      <c r="K68" s="13"/>
      <c r="L68" s="13"/>
      <c r="M68" s="13"/>
      <c r="N68" s="77"/>
      <c r="O68" s="77"/>
      <c r="P68" s="62"/>
      <c r="Q68" s="13"/>
    </row>
    <row r="69" ht="15.75" customHeight="1" spans="1:17">
      <c r="A69" s="75"/>
      <c r="B69" s="13"/>
      <c r="C69" s="13"/>
      <c r="D69" s="13"/>
      <c r="E69" s="13"/>
      <c r="F69" s="13"/>
      <c r="G69" s="13"/>
      <c r="H69" s="13"/>
      <c r="I69" s="63"/>
      <c r="J69" s="63"/>
      <c r="K69" s="13"/>
      <c r="L69" s="13"/>
      <c r="M69" s="13"/>
      <c r="N69" s="77"/>
      <c r="O69" s="77"/>
      <c r="P69" s="62"/>
      <c r="Q69" s="13"/>
    </row>
    <row r="70" ht="15.75" customHeight="1" spans="1:17">
      <c r="A70" s="75"/>
      <c r="B70" s="13"/>
      <c r="C70" s="13"/>
      <c r="D70" s="13"/>
      <c r="E70" s="13"/>
      <c r="F70" s="13"/>
      <c r="G70" s="13"/>
      <c r="H70" s="13"/>
      <c r="I70" s="63"/>
      <c r="J70" s="63"/>
      <c r="K70" s="13"/>
      <c r="L70" s="13"/>
      <c r="M70" s="13"/>
      <c r="N70" s="77"/>
      <c r="O70" s="77"/>
      <c r="P70" s="62"/>
      <c r="Q70" s="13"/>
    </row>
    <row r="71" ht="15.75" customHeight="1" spans="1:17">
      <c r="A71" s="75"/>
      <c r="B71" s="13"/>
      <c r="C71" s="13"/>
      <c r="D71" s="13"/>
      <c r="E71" s="13"/>
      <c r="F71" s="13"/>
      <c r="G71" s="13"/>
      <c r="H71" s="13"/>
      <c r="I71" s="63"/>
      <c r="J71" s="63"/>
      <c r="K71" s="13"/>
      <c r="L71" s="13"/>
      <c r="M71" s="13"/>
      <c r="N71" s="77"/>
      <c r="O71" s="77"/>
      <c r="P71" s="62"/>
      <c r="Q71" s="13"/>
    </row>
    <row r="72" ht="15.75" customHeight="1" spans="1:17">
      <c r="A72" s="75"/>
      <c r="B72" s="13"/>
      <c r="C72" s="13"/>
      <c r="D72" s="13"/>
      <c r="E72" s="13"/>
      <c r="F72" s="13"/>
      <c r="G72" s="13"/>
      <c r="H72" s="13"/>
      <c r="I72" s="63"/>
      <c r="J72" s="63"/>
      <c r="K72" s="13"/>
      <c r="L72" s="13"/>
      <c r="M72" s="13"/>
      <c r="N72" s="77"/>
      <c r="O72" s="77"/>
      <c r="P72" s="62"/>
      <c r="Q72" s="13"/>
    </row>
    <row r="73" ht="15.75" customHeight="1" spans="1:17">
      <c r="A73" s="75"/>
      <c r="B73" s="13"/>
      <c r="C73" s="13"/>
      <c r="D73" s="13"/>
      <c r="E73" s="13"/>
      <c r="F73" s="13"/>
      <c r="G73" s="13"/>
      <c r="H73" s="13"/>
      <c r="I73" s="63"/>
      <c r="J73" s="63"/>
      <c r="K73" s="13"/>
      <c r="L73" s="13"/>
      <c r="M73" s="13"/>
      <c r="N73" s="77"/>
      <c r="O73" s="77"/>
      <c r="P73" s="62"/>
      <c r="Q73" s="13"/>
    </row>
    <row r="74" ht="15.75" customHeight="1" spans="1:17">
      <c r="A74" s="75"/>
      <c r="B74" s="13"/>
      <c r="C74" s="13"/>
      <c r="D74" s="13"/>
      <c r="E74" s="13"/>
      <c r="F74" s="13"/>
      <c r="G74" s="13"/>
      <c r="H74" s="13"/>
      <c r="I74" s="63"/>
      <c r="J74" s="63"/>
      <c r="K74" s="13"/>
      <c r="L74" s="13"/>
      <c r="M74" s="13"/>
      <c r="N74" s="77"/>
      <c r="O74" s="77"/>
      <c r="P74" s="62"/>
      <c r="Q74" s="13"/>
    </row>
    <row r="75" ht="15.75" customHeight="1" spans="1:17">
      <c r="A75" s="75"/>
      <c r="B75" s="13"/>
      <c r="C75" s="13"/>
      <c r="D75" s="13"/>
      <c r="E75" s="13"/>
      <c r="F75" s="13"/>
      <c r="G75" s="13"/>
      <c r="H75" s="13"/>
      <c r="I75" s="63"/>
      <c r="J75" s="63"/>
      <c r="K75" s="13"/>
      <c r="L75" s="13"/>
      <c r="M75" s="13"/>
      <c r="N75" s="77"/>
      <c r="O75" s="77"/>
      <c r="P75" s="62"/>
      <c r="Q75" s="13"/>
    </row>
    <row r="76" ht="15.75" customHeight="1" spans="1:17">
      <c r="A76" s="75"/>
      <c r="B76" s="13"/>
      <c r="C76" s="13"/>
      <c r="D76" s="13"/>
      <c r="E76" s="13"/>
      <c r="F76" s="13"/>
      <c r="G76" s="13"/>
      <c r="H76" s="13"/>
      <c r="I76" s="63"/>
      <c r="J76" s="63"/>
      <c r="K76" s="13"/>
      <c r="L76" s="13"/>
      <c r="M76" s="13"/>
      <c r="N76" s="77"/>
      <c r="O76" s="77"/>
      <c r="P76" s="62"/>
      <c r="Q76" s="13"/>
    </row>
    <row r="77" ht="15.75" customHeight="1" spans="1:17">
      <c r="A77" s="75"/>
      <c r="B77" s="13"/>
      <c r="C77" s="13"/>
      <c r="D77" s="13"/>
      <c r="E77" s="13"/>
      <c r="F77" s="13"/>
      <c r="G77" s="13"/>
      <c r="H77" s="13"/>
      <c r="I77" s="63"/>
      <c r="J77" s="63"/>
      <c r="K77" s="13"/>
      <c r="L77" s="13"/>
      <c r="M77" s="13"/>
      <c r="N77" s="77"/>
      <c r="O77" s="77"/>
      <c r="P77" s="62"/>
      <c r="Q77" s="13"/>
    </row>
    <row r="78" ht="15.75" customHeight="1" spans="1:17">
      <c r="A78" s="75"/>
      <c r="B78" s="13"/>
      <c r="C78" s="13"/>
      <c r="D78" s="13"/>
      <c r="E78" s="13"/>
      <c r="F78" s="13"/>
      <c r="G78" s="13"/>
      <c r="H78" s="13"/>
      <c r="I78" s="63"/>
      <c r="J78" s="63"/>
      <c r="K78" s="13"/>
      <c r="L78" s="13"/>
      <c r="M78" s="13"/>
      <c r="N78" s="77"/>
      <c r="O78" s="77"/>
      <c r="P78" s="62"/>
      <c r="Q78" s="13"/>
    </row>
    <row r="79" ht="15.75" customHeight="1" spans="1:17">
      <c r="A79" s="75"/>
      <c r="B79" s="13"/>
      <c r="C79" s="13"/>
      <c r="D79" s="13"/>
      <c r="E79" s="13"/>
      <c r="F79" s="13"/>
      <c r="G79" s="13"/>
      <c r="H79" s="13"/>
      <c r="I79" s="63"/>
      <c r="J79" s="63"/>
      <c r="K79" s="13"/>
      <c r="L79" s="13"/>
      <c r="M79" s="13"/>
      <c r="N79" s="77"/>
      <c r="O79" s="77"/>
      <c r="P79" s="62"/>
      <c r="Q79" s="13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"/>
    </sheetView>
  </sheetViews>
  <sheetFormatPr defaultColWidth="14.4285714285714" defaultRowHeight="15" customHeight="1" outlineLevelCol="2"/>
  <cols>
    <col min="1" max="1" width="16.8571428571429" customWidth="1"/>
    <col min="2" max="2" width="18.7142857142857" customWidth="1"/>
    <col min="3" max="6" width="14.4285714285714" customWidth="1"/>
  </cols>
  <sheetData>
    <row r="1" ht="15.75" customHeight="1" spans="1:3">
      <c r="A1" s="13" t="str">
        <f>IFERROR(__xludf.DUMMYFUNCTION("QUERY({'Lap Owner'!A:T}, ""SELECT Col1, Col2, Col3 WHERE (Col3= 'PT Satoria Aneka Industri') "",1)"),"#REF!")</f>
        <v>#REF!</v>
      </c>
      <c r="B1" s="73"/>
      <c r="C1" s="13"/>
    </row>
    <row r="2" ht="15.75" customHeight="1" spans="1:3">
      <c r="A2" s="74"/>
      <c r="B2" s="13"/>
      <c r="C2" s="13"/>
    </row>
    <row r="3" ht="15.75" customHeight="1" spans="1:3">
      <c r="A3" s="75"/>
      <c r="B3" s="13"/>
      <c r="C3" s="13"/>
    </row>
    <row r="4" ht="15.75" customHeight="1" spans="1:3">
      <c r="A4" s="75"/>
      <c r="B4" s="13"/>
      <c r="C4" s="13"/>
    </row>
    <row r="5" ht="15.75" customHeight="1" spans="1:3">
      <c r="A5" s="75"/>
      <c r="B5" s="13"/>
      <c r="C5" s="13"/>
    </row>
    <row r="6" ht="15.75" customHeight="1" spans="1:3">
      <c r="A6" s="75"/>
      <c r="B6" s="13"/>
      <c r="C6" s="13"/>
    </row>
    <row r="7" ht="15.75" customHeight="1" spans="1:3">
      <c r="A7" s="75"/>
      <c r="B7" s="13"/>
      <c r="C7" s="13"/>
    </row>
    <row r="8" ht="15.75" customHeight="1" spans="1:3">
      <c r="A8" s="75"/>
      <c r="B8" s="13"/>
      <c r="C8" s="13"/>
    </row>
    <row r="9" ht="15.75" customHeight="1" spans="1:3">
      <c r="A9" s="75"/>
      <c r="B9" s="13"/>
      <c r="C9" s="13"/>
    </row>
    <row r="10" ht="15.75" customHeight="1" spans="1:3">
      <c r="A10" s="75"/>
      <c r="B10" s="13"/>
      <c r="C10" s="13"/>
    </row>
    <row r="11" ht="15.75" customHeight="1" spans="1:3">
      <c r="A11" s="75"/>
      <c r="B11" s="13"/>
      <c r="C11" s="13"/>
    </row>
    <row r="12" ht="15.75" customHeight="1" spans="1:3">
      <c r="A12" s="75"/>
      <c r="B12" s="13"/>
      <c r="C12" s="13"/>
    </row>
    <row r="13" ht="15.75" customHeight="1" spans="1:3">
      <c r="A13" s="75"/>
      <c r="B13" s="13"/>
      <c r="C13" s="13"/>
    </row>
    <row r="14" ht="15.75" customHeight="1" spans="1:3">
      <c r="A14" s="75"/>
      <c r="B14" s="13"/>
      <c r="C14" s="13"/>
    </row>
    <row r="15" ht="15.75" customHeight="1" spans="1:3">
      <c r="A15" s="75"/>
      <c r="B15" s="13"/>
      <c r="C15" s="13"/>
    </row>
    <row r="16" ht="15.75" customHeight="1" spans="1:3">
      <c r="A16" s="75"/>
      <c r="B16" s="13"/>
      <c r="C16" s="13"/>
    </row>
    <row r="17" ht="15.75" customHeight="1" spans="1:3">
      <c r="A17" s="75"/>
      <c r="B17" s="13"/>
      <c r="C17" s="13"/>
    </row>
    <row r="18" ht="15.75" customHeight="1" spans="1:3">
      <c r="A18" s="75"/>
      <c r="B18" s="13"/>
      <c r="C18" s="13"/>
    </row>
    <row r="19" ht="15.75" customHeight="1" spans="1:3">
      <c r="A19" s="75"/>
      <c r="B19" s="13"/>
      <c r="C19" s="13"/>
    </row>
    <row r="20" ht="15.75" customHeight="1" spans="1:3">
      <c r="A20" s="75"/>
      <c r="B20" s="13"/>
      <c r="C20" s="13"/>
    </row>
    <row r="21" ht="15.75" customHeight="1" spans="1:3">
      <c r="A21" s="75"/>
      <c r="B21" s="13"/>
      <c r="C21" s="13"/>
    </row>
    <row r="22" ht="15.75" customHeight="1" spans="1:3">
      <c r="A22" s="75"/>
      <c r="B22" s="13"/>
      <c r="C22" s="13"/>
    </row>
    <row r="23" ht="15.75" customHeight="1" spans="1:3">
      <c r="A23" s="75"/>
      <c r="B23" s="13"/>
      <c r="C23" s="13"/>
    </row>
    <row r="24" ht="15.75" customHeight="1" spans="1:3">
      <c r="A24" s="75"/>
      <c r="B24" s="13"/>
      <c r="C24" s="13"/>
    </row>
    <row r="25" ht="15.75" customHeight="1" spans="1:3">
      <c r="A25" s="75"/>
      <c r="B25" s="13"/>
      <c r="C25" s="13"/>
    </row>
    <row r="26" ht="15.75" customHeight="1" spans="1:3">
      <c r="A26" s="75"/>
      <c r="B26" s="13"/>
      <c r="C26" s="13"/>
    </row>
    <row r="27" ht="15.75" customHeight="1" spans="1:3">
      <c r="A27" s="75"/>
      <c r="B27" s="13"/>
      <c r="C27" s="13"/>
    </row>
    <row r="28" ht="15.75" customHeight="1" spans="1:3">
      <c r="A28" s="75"/>
      <c r="B28" s="13"/>
      <c r="C28" s="13"/>
    </row>
    <row r="29" ht="15.75" customHeight="1" spans="1:3">
      <c r="A29" s="75"/>
      <c r="B29" s="13"/>
      <c r="C29" s="13"/>
    </row>
    <row r="30" ht="15.75" customHeight="1" spans="1:3">
      <c r="A30" s="75"/>
      <c r="B30" s="13"/>
      <c r="C30" s="13"/>
    </row>
    <row r="31" ht="15.75" customHeight="1" spans="1:3">
      <c r="A31" s="75"/>
      <c r="B31" s="13"/>
      <c r="C31" s="13"/>
    </row>
    <row r="32" ht="15.75" customHeight="1" spans="1:3">
      <c r="A32" s="75"/>
      <c r="B32" s="13"/>
      <c r="C32" s="13"/>
    </row>
    <row r="33" ht="15.75" customHeight="1" spans="1:3">
      <c r="A33" s="75"/>
      <c r="B33" s="13"/>
      <c r="C33" s="13"/>
    </row>
    <row r="34" ht="15.75" customHeight="1" spans="1:3">
      <c r="A34" s="75"/>
      <c r="B34" s="13"/>
      <c r="C34" s="13"/>
    </row>
    <row r="35" ht="15.75" customHeight="1" spans="1:3">
      <c r="A35" s="75"/>
      <c r="B35" s="13"/>
      <c r="C35" s="13"/>
    </row>
    <row r="36" ht="15.75" customHeight="1" spans="1:3">
      <c r="A36" s="75"/>
      <c r="B36" s="13"/>
      <c r="C36" s="13"/>
    </row>
    <row r="37" ht="15.75" customHeight="1" spans="1:3">
      <c r="A37" s="75"/>
      <c r="B37" s="13"/>
      <c r="C37" s="13"/>
    </row>
    <row r="38" ht="15.75" customHeight="1" spans="1:3">
      <c r="A38" s="75"/>
      <c r="B38" s="13"/>
      <c r="C38" s="13"/>
    </row>
    <row r="39" ht="15.75" customHeight="1" spans="1:3">
      <c r="A39" s="75"/>
      <c r="B39" s="13"/>
      <c r="C39" s="13"/>
    </row>
    <row r="40" ht="15.75" customHeight="1" spans="1:3">
      <c r="A40" s="75"/>
      <c r="B40" s="13"/>
      <c r="C40" s="13"/>
    </row>
    <row r="41" ht="15.75" customHeight="1" spans="1:3">
      <c r="A41" s="75"/>
      <c r="B41" s="13"/>
      <c r="C41" s="13"/>
    </row>
    <row r="42" ht="15.75" customHeight="1" spans="1:3">
      <c r="A42" s="75"/>
      <c r="B42" s="13"/>
      <c r="C42" s="13"/>
    </row>
    <row r="43" ht="15.75" customHeight="1" spans="1:3">
      <c r="A43" s="75"/>
      <c r="B43" s="13"/>
      <c r="C43" s="13"/>
    </row>
    <row r="44" ht="15.75" customHeight="1" spans="1:3">
      <c r="A44" s="75"/>
      <c r="B44" s="13"/>
      <c r="C44" s="13"/>
    </row>
    <row r="45" ht="15.75" customHeight="1" spans="1:3">
      <c r="A45" s="75"/>
      <c r="B45" s="13"/>
      <c r="C45" s="13"/>
    </row>
    <row r="46" ht="15.75" customHeight="1" spans="1:3">
      <c r="A46" s="75"/>
      <c r="B46" s="13"/>
      <c r="C46" s="13"/>
    </row>
    <row r="47" ht="15.75" customHeight="1" spans="1:3">
      <c r="A47" s="75"/>
      <c r="B47" s="13"/>
      <c r="C47" s="13"/>
    </row>
    <row r="48" ht="15.75" customHeight="1" spans="1:3">
      <c r="A48" s="75"/>
      <c r="B48" s="13"/>
      <c r="C48" s="13"/>
    </row>
    <row r="49" ht="15.75" customHeight="1" spans="1:3">
      <c r="A49" s="75"/>
      <c r="B49" s="13"/>
      <c r="C49" s="13"/>
    </row>
    <row r="50" ht="15.75" customHeight="1" spans="1:3">
      <c r="A50" s="75"/>
      <c r="B50" s="13"/>
      <c r="C50" s="13"/>
    </row>
    <row r="51" ht="15.75" customHeight="1" spans="1:3">
      <c r="A51" s="75"/>
      <c r="B51" s="13"/>
      <c r="C51" s="13"/>
    </row>
    <row r="52" ht="15.75" customHeight="1" spans="1:3">
      <c r="A52" s="75"/>
      <c r="B52" s="13"/>
      <c r="C52" s="13"/>
    </row>
    <row r="53" ht="15.75" customHeight="1" spans="1:3">
      <c r="A53" s="75"/>
      <c r="B53" s="13"/>
      <c r="C53" s="13"/>
    </row>
    <row r="54" ht="15.75" customHeight="1" spans="1:3">
      <c r="A54" s="75"/>
      <c r="B54" s="13"/>
      <c r="C54" s="13"/>
    </row>
    <row r="55" ht="15.75" customHeight="1" spans="1:3">
      <c r="A55" s="75"/>
      <c r="B55" s="13"/>
      <c r="C55" s="13"/>
    </row>
    <row r="56" ht="15.75" customHeight="1" spans="1:3">
      <c r="A56" s="75"/>
      <c r="B56" s="13"/>
      <c r="C56" s="13"/>
    </row>
    <row r="57" ht="15.75" customHeight="1" spans="1:3">
      <c r="A57" s="75"/>
      <c r="B57" s="13"/>
      <c r="C57" s="13"/>
    </row>
    <row r="58" ht="15.75" customHeight="1" spans="1:3">
      <c r="A58" s="75"/>
      <c r="B58" s="13"/>
      <c r="C58" s="13"/>
    </row>
    <row r="59" ht="15.75" customHeight="1" spans="1:3">
      <c r="A59" s="75"/>
      <c r="B59" s="13"/>
      <c r="C59" s="13"/>
    </row>
    <row r="60" ht="15.75" customHeight="1" spans="1:3">
      <c r="A60" s="75"/>
      <c r="B60" s="13"/>
      <c r="C60" s="13"/>
    </row>
    <row r="61" ht="15.75" customHeight="1" spans="1:3">
      <c r="A61" s="75"/>
      <c r="B61" s="13"/>
      <c r="C61" s="13"/>
    </row>
    <row r="62" ht="15.75" customHeight="1" spans="1:3">
      <c r="A62" s="75"/>
      <c r="B62" s="13"/>
      <c r="C62" s="13"/>
    </row>
    <row r="63" ht="15.75" customHeight="1" spans="1:3">
      <c r="A63" s="75"/>
      <c r="B63" s="13"/>
      <c r="C63" s="13"/>
    </row>
    <row r="64" ht="15.75" customHeight="1" spans="1:3">
      <c r="A64" s="75"/>
      <c r="B64" s="13"/>
      <c r="C64" s="13"/>
    </row>
    <row r="65" ht="15.75" customHeight="1" spans="1:3">
      <c r="A65" s="75"/>
      <c r="B65" s="13"/>
      <c r="C65" s="13"/>
    </row>
    <row r="66" ht="15.75" customHeight="1" spans="1:3">
      <c r="A66" s="75"/>
      <c r="B66" s="13"/>
      <c r="C66" s="13"/>
    </row>
    <row r="67" ht="15.75" customHeight="1" spans="1:3">
      <c r="A67" s="75"/>
      <c r="B67" s="13"/>
      <c r="C67" s="13"/>
    </row>
    <row r="68" ht="15.75" customHeight="1" spans="1:3">
      <c r="A68" s="75"/>
      <c r="B68" s="13"/>
      <c r="C68" s="13"/>
    </row>
    <row r="69" ht="15.75" customHeight="1" spans="1:3">
      <c r="A69" s="75"/>
      <c r="B69" s="13"/>
      <c r="C69" s="13"/>
    </row>
    <row r="70" ht="15.75" customHeight="1" spans="1:3">
      <c r="A70" s="75"/>
      <c r="B70" s="13"/>
      <c r="C70" s="13"/>
    </row>
    <row r="71" ht="15.75" customHeight="1" spans="1:3">
      <c r="A71" s="75"/>
      <c r="B71" s="13"/>
      <c r="C71" s="13"/>
    </row>
    <row r="72" ht="15.75" customHeight="1" spans="1:3">
      <c r="A72" s="75"/>
      <c r="B72" s="13"/>
      <c r="C72" s="13"/>
    </row>
    <row r="73" ht="15.75" customHeight="1" spans="1:3">
      <c r="A73" s="75"/>
      <c r="B73" s="13"/>
      <c r="C73" s="13"/>
    </row>
    <row r="74" ht="15.75" customHeight="1" spans="1:3">
      <c r="A74" s="75"/>
      <c r="B74" s="13"/>
      <c r="C74" s="13"/>
    </row>
    <row r="75" ht="15.75" customHeight="1" spans="1:3">
      <c r="A75" s="75"/>
      <c r="B75" s="13"/>
      <c r="C75" s="13"/>
    </row>
    <row r="76" ht="15.75" customHeight="1" spans="1:3">
      <c r="A76" s="75"/>
      <c r="B76" s="13"/>
      <c r="C76" s="13"/>
    </row>
    <row r="77" ht="15.75" customHeight="1" spans="1:3">
      <c r="A77" s="75"/>
      <c r="B77" s="13"/>
      <c r="C77" s="1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1" width="14.8571428571429" customWidth="1"/>
    <col min="2" max="3" width="20.5714285714286" customWidth="1"/>
    <col min="4" max="4" width="25.5714285714286" customWidth="1"/>
    <col min="5" max="6" width="14.4285714285714" customWidth="1"/>
    <col min="7" max="7" width="18.2857142857143" customWidth="1"/>
    <col min="8" max="8" width="12.1428571428571" customWidth="1"/>
    <col min="9" max="9" width="8.71428571428571" customWidth="1"/>
    <col min="10" max="10" width="55.8571428571429" customWidth="1"/>
    <col min="11" max="12" width="17.5714285714286" customWidth="1"/>
    <col min="19" max="19" width="23" customWidth="1"/>
  </cols>
  <sheetData>
    <row r="1" ht="15.75" customHeight="1" spans="1:26">
      <c r="A1" s="64" t="s">
        <v>9</v>
      </c>
      <c r="B1" s="65">
        <f ca="1">EOMONTH(TODAY(),-2)+1</f>
        <v>44409</v>
      </c>
      <c r="C1" s="65">
        <f ca="1">EOMONTH(TODAY(),-1)</f>
        <v>44439</v>
      </c>
      <c r="D1" s="66"/>
      <c r="E1" s="66" t="s">
        <v>10</v>
      </c>
      <c r="F1" s="66" t="s">
        <v>11</v>
      </c>
      <c r="H1" s="64" t="s">
        <v>12</v>
      </c>
      <c r="J1" s="69">
        <f ca="1">NOW()</f>
        <v>44462.8499652778</v>
      </c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5.75" customHeight="1" spans="1:26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5.75" customHeight="1" spans="1:26">
      <c r="A3" s="67" t="str">
        <f>IFERROR(__xludf.DUMMYFUNCTION("QUERY({'Lap Owner'!A:T}, ""SELECT * WHERE (Col3= '""&amp;F1&amp;""') and (Col1 &gt;= date '""&amp;text(B1,""yyyy-mm-dd"")&amp;""')  and (Col1 &lt; date '""&amp;text(C1,""yyyy-mm-dd"")&amp;""') "",1)"),"#REF!")</f>
        <v>#REF!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 spans="1:26">
      <c r="A4" s="68"/>
      <c r="B4" s="66"/>
      <c r="C4" s="66"/>
      <c r="D4" s="66"/>
      <c r="E4" s="66"/>
      <c r="F4" s="66"/>
      <c r="G4" s="66"/>
      <c r="H4" s="66"/>
      <c r="I4" s="66"/>
      <c r="J4" s="66"/>
      <c r="K4" s="70"/>
      <c r="L4" s="70"/>
      <c r="M4" s="66"/>
      <c r="N4" s="66"/>
      <c r="O4" s="66"/>
      <c r="P4" s="71"/>
      <c r="Q4" s="71"/>
      <c r="R4" s="72"/>
      <c r="S4" s="66"/>
      <c r="T4" s="66"/>
      <c r="U4" s="66"/>
      <c r="V4" s="66"/>
      <c r="W4" s="66"/>
      <c r="X4" s="66"/>
      <c r="Y4" s="66"/>
      <c r="Z4" s="66"/>
    </row>
    <row r="5" ht="15.75" customHeight="1" spans="1:26">
      <c r="A5" s="68"/>
      <c r="B5" s="66"/>
      <c r="C5" s="66"/>
      <c r="D5" s="66"/>
      <c r="E5" s="66"/>
      <c r="F5" s="66"/>
      <c r="G5" s="66"/>
      <c r="H5" s="66"/>
      <c r="I5" s="66"/>
      <c r="J5" s="66"/>
      <c r="K5" s="70"/>
      <c r="L5" s="70"/>
      <c r="M5" s="66"/>
      <c r="N5" s="66"/>
      <c r="O5" s="66"/>
      <c r="P5" s="71"/>
      <c r="Q5" s="71"/>
      <c r="R5" s="72"/>
      <c r="S5" s="66"/>
      <c r="T5" s="66"/>
      <c r="U5" s="66"/>
      <c r="V5" s="66"/>
      <c r="W5" s="66"/>
      <c r="X5" s="66"/>
      <c r="Y5" s="66"/>
      <c r="Z5" s="66"/>
    </row>
    <row r="6" ht="15.75" customHeight="1" spans="1:26">
      <c r="A6" s="68"/>
      <c r="B6" s="66"/>
      <c r="C6" s="66"/>
      <c r="D6" s="66"/>
      <c r="E6" s="66"/>
      <c r="F6" s="66"/>
      <c r="G6" s="66"/>
      <c r="H6" s="66"/>
      <c r="I6" s="66"/>
      <c r="J6" s="66"/>
      <c r="K6" s="70"/>
      <c r="L6" s="70"/>
      <c r="M6" s="66"/>
      <c r="N6" s="66"/>
      <c r="O6" s="66"/>
      <c r="P6" s="71"/>
      <c r="Q6" s="71"/>
      <c r="R6" s="72"/>
      <c r="S6" s="66"/>
      <c r="T6" s="66"/>
      <c r="U6" s="66"/>
      <c r="V6" s="66"/>
      <c r="W6" s="66"/>
      <c r="X6" s="66"/>
      <c r="Y6" s="66"/>
      <c r="Z6" s="66"/>
    </row>
    <row r="7" ht="15.75" customHeight="1" spans="1:26">
      <c r="A7" s="68"/>
      <c r="B7" s="66"/>
      <c r="C7" s="66"/>
      <c r="D7" s="66"/>
      <c r="E7" s="66"/>
      <c r="F7" s="66"/>
      <c r="G7" s="66"/>
      <c r="H7" s="66"/>
      <c r="I7" s="66"/>
      <c r="J7" s="66"/>
      <c r="K7" s="70"/>
      <c r="L7" s="70"/>
      <c r="M7" s="66"/>
      <c r="N7" s="66"/>
      <c r="O7" s="66"/>
      <c r="P7" s="71"/>
      <c r="Q7" s="71"/>
      <c r="R7" s="72"/>
      <c r="S7" s="66"/>
      <c r="T7" s="66"/>
      <c r="U7" s="66"/>
      <c r="V7" s="66"/>
      <c r="W7" s="66"/>
      <c r="X7" s="66"/>
      <c r="Y7" s="66"/>
      <c r="Z7" s="66"/>
    </row>
    <row r="8" ht="15.75" customHeight="1" spans="1:26">
      <c r="A8" s="68"/>
      <c r="B8" s="66"/>
      <c r="C8" s="66"/>
      <c r="D8" s="66"/>
      <c r="E8" s="66"/>
      <c r="F8" s="66"/>
      <c r="G8" s="66"/>
      <c r="H8" s="66"/>
      <c r="I8" s="66"/>
      <c r="J8" s="66"/>
      <c r="K8" s="70"/>
      <c r="L8" s="70"/>
      <c r="M8" s="66"/>
      <c r="N8" s="66"/>
      <c r="O8" s="66"/>
      <c r="P8" s="71"/>
      <c r="Q8" s="71"/>
      <c r="R8" s="72"/>
      <c r="S8" s="66"/>
      <c r="T8" s="66"/>
      <c r="U8" s="66"/>
      <c r="V8" s="66"/>
      <c r="W8" s="66"/>
      <c r="X8" s="66"/>
      <c r="Y8" s="66"/>
      <c r="Z8" s="66"/>
    </row>
    <row r="9" ht="15.75" customHeight="1" spans="1:26">
      <c r="A9" s="68"/>
      <c r="B9" s="66"/>
      <c r="C9" s="66"/>
      <c r="D9" s="66"/>
      <c r="E9" s="66"/>
      <c r="F9" s="66"/>
      <c r="G9" s="66"/>
      <c r="H9" s="66"/>
      <c r="I9" s="66"/>
      <c r="J9" s="66"/>
      <c r="K9" s="70"/>
      <c r="L9" s="70"/>
      <c r="M9" s="66"/>
      <c r="N9" s="66"/>
      <c r="O9" s="66"/>
      <c r="P9" s="71"/>
      <c r="Q9" s="71"/>
      <c r="R9" s="72"/>
      <c r="S9" s="66"/>
      <c r="T9" s="66"/>
      <c r="U9" s="66"/>
      <c r="V9" s="66"/>
      <c r="W9" s="66"/>
      <c r="X9" s="66"/>
      <c r="Y9" s="66"/>
      <c r="Z9" s="66"/>
    </row>
    <row r="10" ht="15.75" customHeight="1" spans="1:26">
      <c r="A10" s="68"/>
      <c r="B10" s="66"/>
      <c r="C10" s="66"/>
      <c r="D10" s="66"/>
      <c r="E10" s="66"/>
      <c r="F10" s="66"/>
      <c r="G10" s="66"/>
      <c r="H10" s="66"/>
      <c r="I10" s="66"/>
      <c r="J10" s="66"/>
      <c r="K10" s="70"/>
      <c r="L10" s="70"/>
      <c r="M10" s="66"/>
      <c r="N10" s="66"/>
      <c r="O10" s="66"/>
      <c r="P10" s="71"/>
      <c r="Q10" s="71"/>
      <c r="R10" s="72"/>
      <c r="S10" s="66"/>
      <c r="T10" s="66"/>
      <c r="U10" s="66"/>
      <c r="V10" s="66"/>
      <c r="W10" s="66"/>
      <c r="X10" s="66"/>
      <c r="Y10" s="66"/>
      <c r="Z10" s="66"/>
    </row>
    <row r="11" ht="15.75" customHeight="1" spans="1:26">
      <c r="A11" s="68"/>
      <c r="B11" s="66"/>
      <c r="C11" s="66"/>
      <c r="D11" s="66"/>
      <c r="E11" s="66"/>
      <c r="F11" s="66"/>
      <c r="G11" s="66"/>
      <c r="H11" s="66"/>
      <c r="I11" s="66"/>
      <c r="J11" s="66"/>
      <c r="K11" s="70"/>
      <c r="L11" s="70"/>
      <c r="M11" s="66"/>
      <c r="N11" s="66"/>
      <c r="O11" s="66"/>
      <c r="P11" s="71"/>
      <c r="Q11" s="71"/>
      <c r="R11" s="72"/>
      <c r="S11" s="66"/>
      <c r="T11" s="66"/>
      <c r="U11" s="66"/>
      <c r="V11" s="66"/>
      <c r="W11" s="66"/>
      <c r="X11" s="66"/>
      <c r="Y11" s="66"/>
      <c r="Z11" s="66"/>
    </row>
    <row r="12" ht="15.75" customHeight="1" spans="1:26">
      <c r="A12" s="68"/>
      <c r="B12" s="66"/>
      <c r="C12" s="66"/>
      <c r="D12" s="66"/>
      <c r="E12" s="66"/>
      <c r="F12" s="66"/>
      <c r="G12" s="66"/>
      <c r="H12" s="66"/>
      <c r="I12" s="66"/>
      <c r="J12" s="66"/>
      <c r="K12" s="70"/>
      <c r="L12" s="70"/>
      <c r="M12" s="66"/>
      <c r="N12" s="66"/>
      <c r="O12" s="66"/>
      <c r="P12" s="71"/>
      <c r="Q12" s="71"/>
      <c r="R12" s="72"/>
      <c r="S12" s="66"/>
      <c r="T12" s="66"/>
      <c r="U12" s="66"/>
      <c r="V12" s="66"/>
      <c r="W12" s="66"/>
      <c r="X12" s="66"/>
      <c r="Y12" s="66"/>
      <c r="Z12" s="66"/>
    </row>
    <row r="13" ht="15.75" customHeight="1" spans="1:26">
      <c r="A13" s="68"/>
      <c r="B13" s="66"/>
      <c r="C13" s="66"/>
      <c r="D13" s="66"/>
      <c r="E13" s="66"/>
      <c r="F13" s="66"/>
      <c r="G13" s="66"/>
      <c r="H13" s="66"/>
      <c r="I13" s="66"/>
      <c r="J13" s="66"/>
      <c r="K13" s="70"/>
      <c r="L13" s="70"/>
      <c r="M13" s="66"/>
      <c r="N13" s="66"/>
      <c r="O13" s="66"/>
      <c r="P13" s="71"/>
      <c r="Q13" s="71"/>
      <c r="R13" s="72"/>
      <c r="S13" s="66"/>
      <c r="T13" s="66"/>
      <c r="U13" s="66"/>
      <c r="V13" s="66"/>
      <c r="W13" s="66"/>
      <c r="X13" s="66"/>
      <c r="Y13" s="66"/>
      <c r="Z13" s="66"/>
    </row>
    <row r="14" ht="15.75" customHeight="1" spans="1:26">
      <c r="A14" s="68"/>
      <c r="B14" s="66"/>
      <c r="C14" s="66"/>
      <c r="D14" s="66"/>
      <c r="E14" s="66"/>
      <c r="F14" s="66"/>
      <c r="G14" s="66"/>
      <c r="H14" s="66"/>
      <c r="I14" s="66"/>
      <c r="J14" s="66"/>
      <c r="K14" s="70"/>
      <c r="L14" s="70"/>
      <c r="M14" s="66"/>
      <c r="N14" s="66"/>
      <c r="O14" s="66"/>
      <c r="P14" s="71"/>
      <c r="Q14" s="71"/>
      <c r="R14" s="72"/>
      <c r="S14" s="66"/>
      <c r="T14" s="66"/>
      <c r="U14" s="66"/>
      <c r="V14" s="66"/>
      <c r="W14" s="66"/>
      <c r="X14" s="66"/>
      <c r="Y14" s="66"/>
      <c r="Z14" s="66"/>
    </row>
    <row r="15" ht="15.75" customHeight="1" spans="1:26">
      <c r="A15" s="68"/>
      <c r="B15" s="66"/>
      <c r="C15" s="66"/>
      <c r="D15" s="66"/>
      <c r="E15" s="66"/>
      <c r="F15" s="66"/>
      <c r="G15" s="66"/>
      <c r="H15" s="66"/>
      <c r="I15" s="66"/>
      <c r="J15" s="66"/>
      <c r="K15" s="70"/>
      <c r="L15" s="70"/>
      <c r="M15" s="66"/>
      <c r="N15" s="66"/>
      <c r="O15" s="66"/>
      <c r="P15" s="71"/>
      <c r="Q15" s="71"/>
      <c r="R15" s="72"/>
      <c r="S15" s="66"/>
      <c r="T15" s="66"/>
      <c r="U15" s="66"/>
      <c r="V15" s="66"/>
      <c r="W15" s="66"/>
      <c r="X15" s="66"/>
      <c r="Y15" s="66"/>
      <c r="Z15" s="66"/>
    </row>
    <row r="16" ht="15.75" customHeight="1" spans="1:26">
      <c r="A16" s="68"/>
      <c r="B16" s="66"/>
      <c r="C16" s="66"/>
      <c r="D16" s="66"/>
      <c r="E16" s="66"/>
      <c r="F16" s="66"/>
      <c r="G16" s="66"/>
      <c r="H16" s="66"/>
      <c r="I16" s="66"/>
      <c r="J16" s="66"/>
      <c r="K16" s="70"/>
      <c r="L16" s="70"/>
      <c r="M16" s="66"/>
      <c r="N16" s="66"/>
      <c r="O16" s="66"/>
      <c r="P16" s="71"/>
      <c r="Q16" s="71"/>
      <c r="R16" s="72"/>
      <c r="S16" s="66"/>
      <c r="T16" s="66"/>
      <c r="U16" s="66"/>
      <c r="V16" s="66"/>
      <c r="W16" s="66"/>
      <c r="X16" s="66"/>
      <c r="Y16" s="66"/>
      <c r="Z16" s="66"/>
    </row>
    <row r="17" ht="15.75" customHeight="1" spans="1:26">
      <c r="A17" s="68"/>
      <c r="B17" s="66"/>
      <c r="C17" s="66"/>
      <c r="D17" s="66"/>
      <c r="E17" s="66"/>
      <c r="F17" s="66"/>
      <c r="G17" s="66"/>
      <c r="H17" s="66"/>
      <c r="I17" s="66"/>
      <c r="J17" s="66"/>
      <c r="K17" s="70"/>
      <c r="L17" s="70"/>
      <c r="M17" s="66"/>
      <c r="N17" s="66"/>
      <c r="O17" s="66"/>
      <c r="P17" s="71"/>
      <c r="Q17" s="71"/>
      <c r="R17" s="72"/>
      <c r="S17" s="66"/>
      <c r="T17" s="66"/>
      <c r="U17" s="66"/>
      <c r="V17" s="66"/>
      <c r="W17" s="66"/>
      <c r="X17" s="66"/>
      <c r="Y17" s="66"/>
      <c r="Z17" s="66"/>
    </row>
    <row r="18" ht="15.75" customHeight="1" spans="1:26">
      <c r="A18" s="68"/>
      <c r="B18" s="66"/>
      <c r="C18" s="66"/>
      <c r="D18" s="66"/>
      <c r="E18" s="66"/>
      <c r="F18" s="66"/>
      <c r="G18" s="66"/>
      <c r="H18" s="66"/>
      <c r="I18" s="66"/>
      <c r="J18" s="66"/>
      <c r="K18" s="70"/>
      <c r="L18" s="70"/>
      <c r="M18" s="66"/>
      <c r="N18" s="66"/>
      <c r="O18" s="66"/>
      <c r="P18" s="71"/>
      <c r="Q18" s="71"/>
      <c r="R18" s="72"/>
      <c r="S18" s="66"/>
      <c r="T18" s="66"/>
      <c r="U18" s="66"/>
      <c r="V18" s="66"/>
      <c r="W18" s="66"/>
      <c r="X18" s="66"/>
      <c r="Y18" s="66"/>
      <c r="Z18" s="66"/>
    </row>
    <row r="19" ht="15.75" customHeight="1" spans="1:26">
      <c r="A19" s="68"/>
      <c r="B19" s="66"/>
      <c r="C19" s="66"/>
      <c r="D19" s="66"/>
      <c r="E19" s="66"/>
      <c r="F19" s="66"/>
      <c r="G19" s="66"/>
      <c r="H19" s="66"/>
      <c r="I19" s="66"/>
      <c r="J19" s="66"/>
      <c r="K19" s="70"/>
      <c r="L19" s="70"/>
      <c r="M19" s="66"/>
      <c r="N19" s="66"/>
      <c r="O19" s="66"/>
      <c r="P19" s="71"/>
      <c r="Q19" s="71"/>
      <c r="R19" s="72"/>
      <c r="S19" s="66"/>
      <c r="T19" s="66"/>
      <c r="U19" s="66"/>
      <c r="V19" s="66"/>
      <c r="W19" s="66"/>
      <c r="X19" s="66"/>
      <c r="Y19" s="66"/>
      <c r="Z19" s="66"/>
    </row>
    <row r="20" ht="15.75" customHeight="1" spans="1:26">
      <c r="A20" s="68"/>
      <c r="B20" s="66"/>
      <c r="C20" s="66"/>
      <c r="D20" s="66"/>
      <c r="E20" s="66"/>
      <c r="F20" s="66"/>
      <c r="G20" s="66"/>
      <c r="H20" s="66"/>
      <c r="I20" s="66"/>
      <c r="J20" s="66"/>
      <c r="K20" s="70"/>
      <c r="L20" s="70"/>
      <c r="M20" s="66"/>
      <c r="N20" s="66"/>
      <c r="O20" s="66"/>
      <c r="P20" s="71"/>
      <c r="Q20" s="71"/>
      <c r="R20" s="72"/>
      <c r="S20" s="66"/>
      <c r="T20" s="66"/>
      <c r="U20" s="66"/>
      <c r="V20" s="66"/>
      <c r="W20" s="66"/>
      <c r="X20" s="66"/>
      <c r="Y20" s="66"/>
      <c r="Z20" s="66"/>
    </row>
    <row r="21" ht="15.75" customHeight="1" spans="1:26">
      <c r="A21" s="68"/>
      <c r="B21" s="66"/>
      <c r="C21" s="66"/>
      <c r="D21" s="66"/>
      <c r="E21" s="66"/>
      <c r="F21" s="66"/>
      <c r="G21" s="66"/>
      <c r="H21" s="66"/>
      <c r="I21" s="66"/>
      <c r="J21" s="66"/>
      <c r="K21" s="70"/>
      <c r="L21" s="70"/>
      <c r="M21" s="66"/>
      <c r="N21" s="66"/>
      <c r="O21" s="66"/>
      <c r="P21" s="71"/>
      <c r="Q21" s="71"/>
      <c r="R21" s="72"/>
      <c r="S21" s="66"/>
      <c r="T21" s="66"/>
      <c r="U21" s="66"/>
      <c r="V21" s="66"/>
      <c r="W21" s="66"/>
      <c r="X21" s="66"/>
      <c r="Y21" s="66"/>
      <c r="Z21" s="66"/>
    </row>
    <row r="22" ht="15.75" customHeight="1" spans="1:26">
      <c r="A22" s="68"/>
      <c r="B22" s="66"/>
      <c r="C22" s="66"/>
      <c r="D22" s="66"/>
      <c r="E22" s="66"/>
      <c r="F22" s="66"/>
      <c r="G22" s="66"/>
      <c r="H22" s="66"/>
      <c r="I22" s="66"/>
      <c r="J22" s="66"/>
      <c r="K22" s="70"/>
      <c r="L22" s="70"/>
      <c r="M22" s="66"/>
      <c r="N22" s="66"/>
      <c r="O22" s="66"/>
      <c r="P22" s="71"/>
      <c r="Q22" s="71"/>
      <c r="R22" s="72"/>
      <c r="S22" s="66"/>
      <c r="T22" s="66"/>
      <c r="U22" s="66"/>
      <c r="V22" s="66"/>
      <c r="W22" s="66"/>
      <c r="X22" s="66"/>
      <c r="Y22" s="66"/>
      <c r="Z22" s="66"/>
    </row>
    <row r="23" ht="15.75" customHeight="1" spans="1:26">
      <c r="A23" s="68"/>
      <c r="B23" s="66"/>
      <c r="C23" s="66"/>
      <c r="D23" s="66"/>
      <c r="E23" s="66"/>
      <c r="F23" s="66"/>
      <c r="G23" s="66"/>
      <c r="H23" s="66"/>
      <c r="I23" s="66"/>
      <c r="J23" s="66"/>
      <c r="K23" s="70"/>
      <c r="L23" s="70"/>
      <c r="M23" s="66"/>
      <c r="N23" s="66"/>
      <c r="O23" s="66"/>
      <c r="P23" s="71"/>
      <c r="Q23" s="71"/>
      <c r="R23" s="72"/>
      <c r="S23" s="66"/>
      <c r="T23" s="66"/>
      <c r="U23" s="66"/>
      <c r="V23" s="66"/>
      <c r="W23" s="66"/>
      <c r="X23" s="66"/>
      <c r="Y23" s="66"/>
      <c r="Z23" s="66"/>
    </row>
    <row r="24" ht="15.75" customHeight="1" spans="1:26">
      <c r="A24" s="68"/>
      <c r="B24" s="66"/>
      <c r="C24" s="66"/>
      <c r="D24" s="66"/>
      <c r="E24" s="66"/>
      <c r="F24" s="66"/>
      <c r="G24" s="66"/>
      <c r="H24" s="66"/>
      <c r="I24" s="66"/>
      <c r="J24" s="66"/>
      <c r="K24" s="70"/>
      <c r="L24" s="70"/>
      <c r="M24" s="66"/>
      <c r="N24" s="66"/>
      <c r="O24" s="66"/>
      <c r="P24" s="71"/>
      <c r="Q24" s="71"/>
      <c r="R24" s="72"/>
      <c r="S24" s="66"/>
      <c r="T24" s="66"/>
      <c r="U24" s="66"/>
      <c r="V24" s="66"/>
      <c r="W24" s="66"/>
      <c r="X24" s="66"/>
      <c r="Y24" s="66"/>
      <c r="Z24" s="66"/>
    </row>
    <row r="25" ht="15.75" customHeight="1" spans="1:26">
      <c r="A25" s="68"/>
      <c r="B25" s="66"/>
      <c r="C25" s="66"/>
      <c r="D25" s="66"/>
      <c r="E25" s="66"/>
      <c r="F25" s="66"/>
      <c r="G25" s="66"/>
      <c r="H25" s="66"/>
      <c r="I25" s="66"/>
      <c r="J25" s="66"/>
      <c r="K25" s="70"/>
      <c r="L25" s="70"/>
      <c r="M25" s="66"/>
      <c r="N25" s="66"/>
      <c r="O25" s="66"/>
      <c r="P25" s="71"/>
      <c r="Q25" s="71"/>
      <c r="R25" s="72"/>
      <c r="S25" s="66"/>
      <c r="T25" s="66"/>
      <c r="U25" s="66"/>
      <c r="V25" s="66"/>
      <c r="W25" s="66"/>
      <c r="X25" s="66"/>
      <c r="Y25" s="66"/>
      <c r="Z25" s="66"/>
    </row>
    <row r="26" ht="15.75" customHeight="1" spans="1:26">
      <c r="A26" s="68"/>
      <c r="B26" s="66"/>
      <c r="C26" s="66"/>
      <c r="D26" s="66"/>
      <c r="E26" s="66"/>
      <c r="F26" s="66"/>
      <c r="G26" s="66"/>
      <c r="H26" s="66"/>
      <c r="I26" s="66"/>
      <c r="J26" s="66"/>
      <c r="K26" s="70"/>
      <c r="L26" s="70"/>
      <c r="M26" s="66"/>
      <c r="N26" s="66"/>
      <c r="O26" s="66"/>
      <c r="P26" s="71"/>
      <c r="Q26" s="71"/>
      <c r="R26" s="72"/>
      <c r="S26" s="66"/>
      <c r="T26" s="66"/>
      <c r="U26" s="66"/>
      <c r="V26" s="66"/>
      <c r="W26" s="66"/>
      <c r="X26" s="66"/>
      <c r="Y26" s="66"/>
      <c r="Z26" s="66"/>
    </row>
    <row r="27" ht="15.75" customHeight="1" spans="1:26">
      <c r="A27" s="68"/>
      <c r="B27" s="66"/>
      <c r="C27" s="66"/>
      <c r="D27" s="66"/>
      <c r="E27" s="66"/>
      <c r="F27" s="66"/>
      <c r="G27" s="66"/>
      <c r="H27" s="66"/>
      <c r="I27" s="66"/>
      <c r="J27" s="66"/>
      <c r="K27" s="70"/>
      <c r="L27" s="70"/>
      <c r="M27" s="66"/>
      <c r="N27" s="66"/>
      <c r="O27" s="66"/>
      <c r="P27" s="71"/>
      <c r="Q27" s="71"/>
      <c r="R27" s="72"/>
      <c r="S27" s="66"/>
      <c r="T27" s="66"/>
      <c r="U27" s="66"/>
      <c r="V27" s="66"/>
      <c r="W27" s="66"/>
      <c r="X27" s="66"/>
      <c r="Y27" s="66"/>
      <c r="Z27" s="66"/>
    </row>
    <row r="28" ht="15.75" customHeight="1" spans="1:26">
      <c r="A28" s="68"/>
      <c r="B28" s="66"/>
      <c r="C28" s="66"/>
      <c r="D28" s="66"/>
      <c r="E28" s="66"/>
      <c r="F28" s="66"/>
      <c r="G28" s="66"/>
      <c r="H28" s="66"/>
      <c r="I28" s="66"/>
      <c r="J28" s="66"/>
      <c r="K28" s="70"/>
      <c r="L28" s="70"/>
      <c r="M28" s="66"/>
      <c r="N28" s="66"/>
      <c r="O28" s="66"/>
      <c r="P28" s="71"/>
      <c r="Q28" s="71"/>
      <c r="R28" s="72"/>
      <c r="S28" s="66"/>
      <c r="T28" s="66"/>
      <c r="U28" s="66"/>
      <c r="V28" s="66"/>
      <c r="W28" s="66"/>
      <c r="X28" s="66"/>
      <c r="Y28" s="66"/>
      <c r="Z28" s="66"/>
    </row>
    <row r="29" ht="15.75" customHeight="1" spans="1:26">
      <c r="A29" s="68"/>
      <c r="B29" s="66"/>
      <c r="C29" s="66"/>
      <c r="D29" s="66"/>
      <c r="E29" s="66"/>
      <c r="F29" s="66"/>
      <c r="G29" s="66"/>
      <c r="H29" s="66"/>
      <c r="I29" s="66"/>
      <c r="J29" s="66"/>
      <c r="K29" s="70"/>
      <c r="L29" s="70"/>
      <c r="M29" s="66"/>
      <c r="N29" s="66"/>
      <c r="O29" s="66"/>
      <c r="P29" s="71"/>
      <c r="Q29" s="71"/>
      <c r="R29" s="72"/>
      <c r="S29" s="66"/>
      <c r="T29" s="66"/>
      <c r="U29" s="66"/>
      <c r="V29" s="66"/>
      <c r="W29" s="66"/>
      <c r="X29" s="66"/>
      <c r="Y29" s="66"/>
      <c r="Z29" s="66"/>
    </row>
    <row r="30" ht="15.75" customHeight="1" spans="1:26">
      <c r="A30" s="68"/>
      <c r="B30" s="66"/>
      <c r="C30" s="66"/>
      <c r="D30" s="66"/>
      <c r="E30" s="66"/>
      <c r="F30" s="66"/>
      <c r="G30" s="66"/>
      <c r="H30" s="66"/>
      <c r="I30" s="66"/>
      <c r="J30" s="66"/>
      <c r="K30" s="70"/>
      <c r="L30" s="70"/>
      <c r="M30" s="66"/>
      <c r="N30" s="66"/>
      <c r="O30" s="66"/>
      <c r="P30" s="71"/>
      <c r="Q30" s="71"/>
      <c r="R30" s="72"/>
      <c r="S30" s="66"/>
      <c r="T30" s="66"/>
      <c r="U30" s="66"/>
      <c r="V30" s="66"/>
      <c r="W30" s="66"/>
      <c r="X30" s="66"/>
      <c r="Y30" s="66"/>
      <c r="Z30" s="66"/>
    </row>
    <row r="31" ht="15.75" customHeight="1" spans="1:26">
      <c r="A31" s="68"/>
      <c r="B31" s="66"/>
      <c r="C31" s="66"/>
      <c r="D31" s="66"/>
      <c r="E31" s="66"/>
      <c r="F31" s="66"/>
      <c r="G31" s="66"/>
      <c r="H31" s="66"/>
      <c r="I31" s="66"/>
      <c r="J31" s="66"/>
      <c r="K31" s="70"/>
      <c r="L31" s="70"/>
      <c r="M31" s="66"/>
      <c r="N31" s="66"/>
      <c r="O31" s="66"/>
      <c r="P31" s="71"/>
      <c r="Q31" s="71"/>
      <c r="R31" s="72"/>
      <c r="S31" s="66"/>
      <c r="T31" s="66"/>
      <c r="U31" s="66"/>
      <c r="V31" s="66"/>
      <c r="W31" s="66"/>
      <c r="X31" s="66"/>
      <c r="Y31" s="66"/>
      <c r="Z31" s="66"/>
    </row>
    <row r="32" ht="15.75" customHeight="1" spans="1:26">
      <c r="A32" s="68"/>
      <c r="B32" s="66"/>
      <c r="C32" s="66"/>
      <c r="D32" s="66"/>
      <c r="E32" s="66"/>
      <c r="F32" s="66"/>
      <c r="G32" s="66"/>
      <c r="H32" s="66"/>
      <c r="I32" s="66"/>
      <c r="J32" s="66"/>
      <c r="K32" s="70"/>
      <c r="L32" s="70"/>
      <c r="M32" s="66"/>
      <c r="N32" s="66"/>
      <c r="O32" s="66"/>
      <c r="P32" s="71"/>
      <c r="Q32" s="71"/>
      <c r="R32" s="72"/>
      <c r="S32" s="66"/>
      <c r="T32" s="66"/>
      <c r="U32" s="66"/>
      <c r="V32" s="66"/>
      <c r="W32" s="66"/>
      <c r="X32" s="66"/>
      <c r="Y32" s="66"/>
      <c r="Z32" s="66"/>
    </row>
    <row r="33" ht="15.75" customHeight="1" spans="1:26">
      <c r="A33" s="68"/>
      <c r="B33" s="66"/>
      <c r="C33" s="66"/>
      <c r="D33" s="66"/>
      <c r="E33" s="66"/>
      <c r="F33" s="66"/>
      <c r="G33" s="66"/>
      <c r="H33" s="66"/>
      <c r="I33" s="66"/>
      <c r="J33" s="66"/>
      <c r="K33" s="70"/>
      <c r="L33" s="70"/>
      <c r="M33" s="66"/>
      <c r="N33" s="66"/>
      <c r="O33" s="66"/>
      <c r="P33" s="71"/>
      <c r="Q33" s="71"/>
      <c r="R33" s="72"/>
      <c r="S33" s="66"/>
      <c r="T33" s="66"/>
      <c r="U33" s="66"/>
      <c r="V33" s="66"/>
      <c r="W33" s="66"/>
      <c r="X33" s="66"/>
      <c r="Y33" s="66"/>
      <c r="Z33" s="66"/>
    </row>
    <row r="34" ht="15.75" customHeight="1" spans="1:26">
      <c r="A34" s="68"/>
      <c r="B34" s="66"/>
      <c r="C34" s="66"/>
      <c r="D34" s="66"/>
      <c r="E34" s="66"/>
      <c r="F34" s="66"/>
      <c r="G34" s="66"/>
      <c r="H34" s="66"/>
      <c r="I34" s="66"/>
      <c r="J34" s="66"/>
      <c r="K34" s="70"/>
      <c r="L34" s="70"/>
      <c r="M34" s="66"/>
      <c r="N34" s="66"/>
      <c r="O34" s="66"/>
      <c r="P34" s="71"/>
      <c r="Q34" s="71"/>
      <c r="R34" s="72"/>
      <c r="S34" s="66"/>
      <c r="T34" s="66"/>
      <c r="U34" s="66"/>
      <c r="V34" s="66"/>
      <c r="W34" s="66"/>
      <c r="X34" s="66"/>
      <c r="Y34" s="66"/>
      <c r="Z34" s="66"/>
    </row>
    <row r="35" ht="15.75" customHeight="1" spans="1:26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 spans="1:2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 spans="1:26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 spans="1:26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 spans="1:26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 spans="1:26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 spans="1:26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 spans="1:26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 spans="1:26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 spans="1:26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 spans="1:26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 spans="1:2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 spans="1:26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 spans="1:26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 spans="1:26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 spans="1:26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 spans="1:26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 spans="1:26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 spans="1:26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 spans="1:26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 spans="1:26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 spans="1:2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 spans="1:26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 spans="1:26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 spans="1:26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 spans="1:26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 spans="1:26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 spans="1:26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 spans="1:26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 spans="1:26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 spans="1:26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 spans="1:2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 spans="1:26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 spans="1:26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 spans="1:26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 spans="1:26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 spans="1:26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 spans="1:26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 spans="1:26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 spans="1:26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 spans="1:26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 spans="1:2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 spans="1:26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 spans="1:26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 spans="1:26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 spans="1:26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 spans="1:26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 spans="1:26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 spans="1:26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 spans="1:26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 spans="1:26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 spans="1:2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 spans="1:26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 spans="1:26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 spans="1:26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 spans="1:26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 spans="1:26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 spans="1:26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 spans="1:26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 spans="1:26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 spans="1:26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 spans="1:2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 spans="1:26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 spans="1:26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 spans="1:26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 spans="1:26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 spans="1:26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 spans="1:26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 spans="1:26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 spans="1:26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 spans="1:26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 spans="1:2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 spans="1:26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 spans="1:26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 spans="1:26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 spans="1:26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 spans="1:26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 spans="1:26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 spans="1:26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 spans="1:26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 spans="1:26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 spans="1:2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 spans="1:26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 spans="1:26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 spans="1:26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 spans="1:26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 spans="1:26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 spans="1:26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 spans="1:26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 spans="1:26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 spans="1:26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 spans="1: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 spans="1:26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 spans="1:26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 spans="1:26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 spans="1:26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 spans="1:26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 spans="1:26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 spans="1:26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 spans="1:26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 spans="1:26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 spans="1:2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 spans="1:26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 spans="1:26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 spans="1:26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 spans="1:26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 spans="1:26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 spans="1:26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 spans="1:26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 spans="1:26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 spans="1:26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 spans="1:2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 spans="1:26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 spans="1:26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 spans="1:26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 spans="1:26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 spans="1:26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 spans="1:26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 spans="1:26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 spans="1:26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 spans="1:26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 spans="1:2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 spans="1:26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 spans="1:26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 spans="1:26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 spans="1:26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 spans="1:26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 spans="1:26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 spans="1:26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 spans="1:26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 spans="1:26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 spans="1:2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 spans="1:26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 spans="1:26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 spans="1:26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 spans="1:26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 spans="1:26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 spans="1:26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 spans="1:26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 spans="1:26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 spans="1:26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 spans="1:2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 spans="1:26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 spans="1:26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 spans="1:26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 spans="1:26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 spans="1:26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 spans="1:26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 spans="1:26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 spans="1:26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 spans="1:26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 spans="1:2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 spans="1:26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 spans="1:26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 spans="1:26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 spans="1:26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 spans="1:26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 spans="1:26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 spans="1:26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 spans="1:26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 spans="1:26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 spans="1:2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 spans="1:26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 spans="1:26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 spans="1:26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 spans="1:26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 spans="1:26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 spans="1:26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 spans="1:26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 spans="1:26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 spans="1:26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 spans="1:2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 spans="1:26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 spans="1:26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 spans="1:26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 spans="1:26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 spans="1:26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 spans="1:26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 spans="1:26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 spans="1:26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 spans="1:26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 spans="1:2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 spans="1:26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 spans="1:26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 spans="1:26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 spans="1:26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 spans="1:26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 spans="1:26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 spans="1:26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 spans="1:26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 spans="1:26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 spans="1: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 spans="1:26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 spans="1:26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 spans="1:26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 spans="1:26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 spans="1:26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 spans="1:26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 spans="1:26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 spans="1:26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1:G1"/>
    <mergeCell ref="H1:I1"/>
  </mergeCells>
  <dataValidations count="1">
    <dataValidation type="list" allowBlank="1" showErrorMessage="1" sqref="F1">
      <formula1>#REF!</formula1>
    </dataValidation>
  </dataValidations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6" width="14.4285714285714" customWidth="1"/>
  </cols>
  <sheetData>
    <row r="1" ht="15.75" customHeight="1" spans="1:1">
      <c r="A1" s="13" t="s">
        <v>13</v>
      </c>
    </row>
    <row r="2" ht="15.75" customHeight="1"/>
    <row r="3" ht="15.75" customHeight="1" spans="1:26">
      <c r="A3" s="13" t="str">
        <f>IFERROR(__xludf.DUMMYFUNCTION("query('Lap Logistik'!A1:AK1000, A1, 1)"),"#REF!")</f>
        <v>#REF!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 spans="1:26">
      <c r="A4" s="6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62"/>
      <c r="P4" s="13"/>
      <c r="Q4" s="63"/>
      <c r="R4" s="61"/>
      <c r="S4" s="61"/>
      <c r="T4" s="63"/>
      <c r="U4" s="13"/>
      <c r="V4" s="13"/>
      <c r="W4" s="63"/>
      <c r="X4" s="63"/>
      <c r="Y4" s="63"/>
      <c r="Z4" s="63"/>
    </row>
    <row r="5" ht="15.75" customHeight="1" spans="1:26">
      <c r="A5" s="6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62"/>
      <c r="P5" s="13"/>
      <c r="Q5" s="63"/>
      <c r="R5" s="61"/>
      <c r="S5" s="61"/>
      <c r="T5" s="63"/>
      <c r="U5" s="13"/>
      <c r="V5" s="13"/>
      <c r="W5" s="63"/>
      <c r="X5" s="63"/>
      <c r="Y5" s="63"/>
      <c r="Z5" s="63"/>
    </row>
    <row r="6" ht="15.75" customHeight="1" spans="1:26">
      <c r="A6" s="61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62"/>
      <c r="P6" s="13"/>
      <c r="Q6" s="63"/>
      <c r="R6" s="61"/>
      <c r="S6" s="61"/>
      <c r="T6" s="63"/>
      <c r="U6" s="13"/>
      <c r="V6" s="13"/>
      <c r="W6" s="63"/>
      <c r="X6" s="63"/>
      <c r="Y6" s="63"/>
      <c r="Z6" s="63"/>
    </row>
    <row r="7" ht="15.75" customHeight="1" spans="1:26">
      <c r="A7" s="6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62"/>
      <c r="P7" s="13"/>
      <c r="Q7" s="63"/>
      <c r="R7" s="61"/>
      <c r="S7" s="61"/>
      <c r="T7" s="63"/>
      <c r="U7" s="13"/>
      <c r="V7" s="13"/>
      <c r="W7" s="63"/>
      <c r="X7" s="63"/>
      <c r="Y7" s="63"/>
      <c r="Z7" s="63"/>
    </row>
    <row r="8" ht="15.75" customHeight="1" spans="1:26">
      <c r="A8" s="6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62"/>
      <c r="P8" s="13"/>
      <c r="Q8" s="63"/>
      <c r="R8" s="61"/>
      <c r="S8" s="61"/>
      <c r="T8" s="63"/>
      <c r="U8" s="13"/>
      <c r="V8" s="13"/>
      <c r="W8" s="63"/>
      <c r="X8" s="63"/>
      <c r="Y8" s="63"/>
      <c r="Z8" s="63"/>
    </row>
    <row r="9" ht="15.75" customHeight="1" spans="1:26">
      <c r="A9" s="6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62"/>
      <c r="P9" s="13"/>
      <c r="Q9" s="63"/>
      <c r="R9" s="61"/>
      <c r="S9" s="61"/>
      <c r="T9" s="63"/>
      <c r="U9" s="13"/>
      <c r="V9" s="13"/>
      <c r="W9" s="63"/>
      <c r="X9" s="63"/>
      <c r="Y9" s="63"/>
      <c r="Z9" s="63"/>
    </row>
    <row r="10" ht="15.75" customHeight="1" spans="1:26">
      <c r="A10" s="6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62"/>
      <c r="P10" s="13"/>
      <c r="Q10" s="63"/>
      <c r="R10" s="61"/>
      <c r="S10" s="61"/>
      <c r="T10" s="63"/>
      <c r="U10" s="13"/>
      <c r="V10" s="13"/>
      <c r="W10" s="63"/>
      <c r="X10" s="63"/>
      <c r="Y10" s="63"/>
      <c r="Z10" s="63"/>
    </row>
    <row r="11" ht="15.75" customHeight="1" spans="1:26">
      <c r="A11" s="6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62"/>
      <c r="P11" s="13"/>
      <c r="Q11" s="63"/>
      <c r="R11" s="61"/>
      <c r="S11" s="61"/>
      <c r="T11" s="63"/>
      <c r="U11" s="13"/>
      <c r="V11" s="13"/>
      <c r="W11" s="63"/>
      <c r="X11" s="63"/>
      <c r="Y11" s="63"/>
      <c r="Z11" s="63"/>
    </row>
    <row r="12" ht="15.75" customHeight="1" spans="1:26">
      <c r="A12" s="6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62"/>
      <c r="P12" s="13"/>
      <c r="Q12" s="63"/>
      <c r="R12" s="61"/>
      <c r="S12" s="61"/>
      <c r="T12" s="63"/>
      <c r="U12" s="13"/>
      <c r="V12" s="13"/>
      <c r="W12" s="63"/>
      <c r="X12" s="63"/>
      <c r="Y12" s="63"/>
      <c r="Z12" s="63"/>
    </row>
    <row r="13" ht="15.75" customHeight="1" spans="1:26">
      <c r="A13" s="61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62"/>
      <c r="P13" s="13"/>
      <c r="Q13" s="63"/>
      <c r="R13" s="61"/>
      <c r="S13" s="61"/>
      <c r="T13" s="63"/>
      <c r="U13" s="13"/>
      <c r="V13" s="13"/>
      <c r="W13" s="63"/>
      <c r="X13" s="63"/>
      <c r="Y13" s="63"/>
      <c r="Z13" s="63"/>
    </row>
    <row r="14" ht="15.75" customHeight="1" spans="1:26">
      <c r="A14" s="6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62"/>
      <c r="P14" s="13"/>
      <c r="Q14" s="63"/>
      <c r="R14" s="61"/>
      <c r="S14" s="61"/>
      <c r="T14" s="63"/>
      <c r="U14" s="13"/>
      <c r="V14" s="13"/>
      <c r="W14" s="63"/>
      <c r="X14" s="63"/>
      <c r="Y14" s="63"/>
      <c r="Z14" s="63"/>
    </row>
    <row r="15" ht="15.75" customHeight="1" spans="1:26">
      <c r="A15" s="61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62"/>
      <c r="P15" s="13"/>
      <c r="Q15" s="63"/>
      <c r="R15" s="61"/>
      <c r="S15" s="61"/>
      <c r="T15" s="63"/>
      <c r="U15" s="13"/>
      <c r="V15" s="13"/>
      <c r="W15" s="63"/>
      <c r="X15" s="63"/>
      <c r="Y15" s="63"/>
      <c r="Z15" s="63"/>
    </row>
    <row r="16" ht="15.75" customHeight="1" spans="1:26">
      <c r="A16" s="61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62"/>
      <c r="P16" s="13"/>
      <c r="Q16" s="63"/>
      <c r="R16" s="61"/>
      <c r="S16" s="61"/>
      <c r="T16" s="63"/>
      <c r="U16" s="13"/>
      <c r="V16" s="13"/>
      <c r="W16" s="63"/>
      <c r="X16" s="63"/>
      <c r="Y16" s="63"/>
      <c r="Z16" s="63"/>
    </row>
    <row r="17" ht="15.75" customHeight="1" spans="1:26">
      <c r="A17" s="61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62"/>
      <c r="P17" s="13"/>
      <c r="Q17" s="63"/>
      <c r="R17" s="61"/>
      <c r="S17" s="61"/>
      <c r="T17" s="63"/>
      <c r="U17" s="13"/>
      <c r="V17" s="13"/>
      <c r="W17" s="63"/>
      <c r="X17" s="63"/>
      <c r="Y17" s="63"/>
      <c r="Z17" s="63"/>
    </row>
    <row r="18" ht="15.75" customHeight="1" spans="1:26">
      <c r="A18" s="6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62"/>
      <c r="P18" s="13"/>
      <c r="Q18" s="63"/>
      <c r="R18" s="61"/>
      <c r="S18" s="61"/>
      <c r="T18" s="63"/>
      <c r="U18" s="13"/>
      <c r="V18" s="13"/>
      <c r="W18" s="63"/>
      <c r="X18" s="63"/>
      <c r="Y18" s="63"/>
      <c r="Z18" s="63"/>
    </row>
    <row r="19" ht="15.75" customHeight="1" spans="1:26">
      <c r="A19" s="61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62"/>
      <c r="P19" s="13"/>
      <c r="Q19" s="63"/>
      <c r="R19" s="61"/>
      <c r="S19" s="61"/>
      <c r="T19" s="63"/>
      <c r="U19" s="13"/>
      <c r="V19" s="13"/>
      <c r="W19" s="63"/>
      <c r="X19" s="63"/>
      <c r="Y19" s="63"/>
      <c r="Z19" s="63"/>
    </row>
    <row r="20" ht="15.75" customHeight="1" spans="1:26">
      <c r="A20" s="61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62"/>
      <c r="P20" s="13"/>
      <c r="Q20" s="63"/>
      <c r="R20" s="61"/>
      <c r="S20" s="61"/>
      <c r="T20" s="63"/>
      <c r="U20" s="13"/>
      <c r="V20" s="13"/>
      <c r="W20" s="63"/>
      <c r="X20" s="63"/>
      <c r="Y20" s="63"/>
      <c r="Z20" s="63"/>
    </row>
    <row r="21" ht="15.75" customHeight="1" spans="1:26">
      <c r="A21" s="61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62"/>
      <c r="P21" s="13"/>
      <c r="Q21" s="63"/>
      <c r="R21" s="61"/>
      <c r="S21" s="61"/>
      <c r="T21" s="63"/>
      <c r="U21" s="13"/>
      <c r="V21" s="13"/>
      <c r="W21" s="63"/>
      <c r="X21" s="63"/>
      <c r="Y21" s="63"/>
      <c r="Z21" s="63"/>
    </row>
    <row r="22" ht="15.75" customHeight="1" spans="1:26">
      <c r="A22" s="61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62"/>
      <c r="P22" s="13"/>
      <c r="Q22" s="63"/>
      <c r="R22" s="61"/>
      <c r="S22" s="61"/>
      <c r="T22" s="63"/>
      <c r="U22" s="13"/>
      <c r="V22" s="13"/>
      <c r="W22" s="63"/>
      <c r="X22" s="63"/>
      <c r="Y22" s="63"/>
      <c r="Z22" s="63"/>
    </row>
    <row r="23" ht="15.75" customHeight="1" spans="1:26">
      <c r="A23" s="6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62"/>
      <c r="P23" s="13"/>
      <c r="Q23" s="63"/>
      <c r="R23" s="61"/>
      <c r="S23" s="61"/>
      <c r="T23" s="63"/>
      <c r="U23" s="13"/>
      <c r="V23" s="13"/>
      <c r="W23" s="63"/>
      <c r="X23" s="63"/>
      <c r="Y23" s="63"/>
      <c r="Z23" s="63"/>
    </row>
    <row r="24" ht="15.75" customHeight="1" spans="1:26">
      <c r="A24" s="6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62"/>
      <c r="P24" s="13"/>
      <c r="Q24" s="63"/>
      <c r="R24" s="61"/>
      <c r="S24" s="61"/>
      <c r="T24" s="63"/>
      <c r="U24" s="13"/>
      <c r="V24" s="13"/>
      <c r="W24" s="63"/>
      <c r="X24" s="63"/>
      <c r="Y24" s="63"/>
      <c r="Z24" s="63"/>
    </row>
    <row r="25" ht="15.75" customHeight="1" spans="1:26">
      <c r="A25" s="6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62"/>
      <c r="P25" s="13"/>
      <c r="Q25" s="63"/>
      <c r="R25" s="61"/>
      <c r="S25" s="61"/>
      <c r="T25" s="63"/>
      <c r="U25" s="13"/>
      <c r="V25" s="13"/>
      <c r="W25" s="63"/>
      <c r="X25" s="63"/>
      <c r="Y25" s="63"/>
      <c r="Z25" s="63"/>
    </row>
    <row r="26" ht="15.75" customHeight="1" spans="1:26">
      <c r="A26" s="6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62"/>
      <c r="P26" s="13"/>
      <c r="Q26" s="63"/>
      <c r="R26" s="61"/>
      <c r="S26" s="61"/>
      <c r="T26" s="63"/>
      <c r="U26" s="13"/>
      <c r="V26" s="13"/>
      <c r="W26" s="63"/>
      <c r="X26" s="63"/>
      <c r="Y26" s="63"/>
      <c r="Z26" s="63"/>
    </row>
    <row r="27" ht="15.75" customHeight="1" spans="1:26">
      <c r="A27" s="6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62"/>
      <c r="P27" s="13"/>
      <c r="Q27" s="63"/>
      <c r="R27" s="61"/>
      <c r="S27" s="61"/>
      <c r="T27" s="63"/>
      <c r="U27" s="13"/>
      <c r="V27" s="13"/>
      <c r="W27" s="63"/>
      <c r="X27" s="63"/>
      <c r="Y27" s="63"/>
      <c r="Z27" s="63"/>
    </row>
    <row r="28" ht="15.75" customHeight="1" spans="1:26">
      <c r="A28" s="6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62"/>
      <c r="P28" s="13"/>
      <c r="Q28" s="63"/>
      <c r="R28" s="61"/>
      <c r="S28" s="61"/>
      <c r="T28" s="63"/>
      <c r="U28" s="13"/>
      <c r="V28" s="13"/>
      <c r="W28" s="63"/>
      <c r="X28" s="63"/>
      <c r="Y28" s="63"/>
      <c r="Z28" s="63"/>
    </row>
    <row r="29" ht="15.75" customHeight="1" spans="1:26">
      <c r="A29" s="6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62"/>
      <c r="P29" s="13"/>
      <c r="Q29" s="63"/>
      <c r="R29" s="61"/>
      <c r="S29" s="61"/>
      <c r="T29" s="63"/>
      <c r="U29" s="13"/>
      <c r="V29" s="13"/>
      <c r="W29" s="63"/>
      <c r="X29" s="63"/>
      <c r="Y29" s="63"/>
      <c r="Z29" s="63"/>
    </row>
    <row r="30" ht="15.75" customHeight="1" spans="1:26">
      <c r="A30" s="61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62"/>
      <c r="P30" s="13"/>
      <c r="Q30" s="63"/>
      <c r="R30" s="61"/>
      <c r="S30" s="61"/>
      <c r="T30" s="63"/>
      <c r="U30" s="13"/>
      <c r="V30" s="13"/>
      <c r="W30" s="63"/>
      <c r="X30" s="63"/>
      <c r="Y30" s="63"/>
      <c r="Z30" s="63"/>
    </row>
    <row r="31" ht="15.75" customHeight="1" spans="1:26">
      <c r="A31" s="61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62"/>
      <c r="P31" s="13"/>
      <c r="Q31" s="63"/>
      <c r="R31" s="61"/>
      <c r="S31" s="61"/>
      <c r="T31" s="63"/>
      <c r="U31" s="13"/>
      <c r="V31" s="13"/>
      <c r="W31" s="63"/>
      <c r="X31" s="63"/>
      <c r="Y31" s="63"/>
      <c r="Z31" s="63"/>
    </row>
    <row r="32" ht="15.75" customHeight="1" spans="1:26">
      <c r="A32" s="61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62"/>
      <c r="P32" s="13"/>
      <c r="Q32" s="63"/>
      <c r="R32" s="61"/>
      <c r="S32" s="61"/>
      <c r="T32" s="63"/>
      <c r="U32" s="13"/>
      <c r="V32" s="13"/>
      <c r="W32" s="63"/>
      <c r="X32" s="63"/>
      <c r="Y32" s="63"/>
      <c r="Z32" s="63"/>
    </row>
    <row r="33" ht="15.75" customHeight="1" spans="1:26">
      <c r="A33" s="61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62"/>
      <c r="P33" s="13"/>
      <c r="Q33" s="63"/>
      <c r="R33" s="61"/>
      <c r="S33" s="61"/>
      <c r="T33" s="63"/>
      <c r="U33" s="13"/>
      <c r="V33" s="13"/>
      <c r="W33" s="63"/>
      <c r="X33" s="63"/>
      <c r="Y33" s="63"/>
      <c r="Z33" s="63"/>
    </row>
    <row r="34" ht="15.75" customHeight="1" spans="1:26">
      <c r="A34" s="61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62"/>
      <c r="P34" s="13"/>
      <c r="Q34" s="63"/>
      <c r="R34" s="61"/>
      <c r="S34" s="61"/>
      <c r="T34" s="63"/>
      <c r="U34" s="13"/>
      <c r="V34" s="13"/>
      <c r="W34" s="63"/>
      <c r="X34" s="63"/>
      <c r="Y34" s="63"/>
      <c r="Z34" s="63"/>
    </row>
    <row r="35" ht="15.75" customHeight="1" spans="1:26">
      <c r="A35" s="61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62"/>
      <c r="P35" s="13"/>
      <c r="Q35" s="63"/>
      <c r="R35" s="61"/>
      <c r="S35" s="61"/>
      <c r="T35" s="63"/>
      <c r="U35" s="13"/>
      <c r="V35" s="13"/>
      <c r="W35" s="63"/>
      <c r="X35" s="63"/>
      <c r="Y35" s="63"/>
      <c r="Z35" s="63"/>
    </row>
    <row r="36" ht="15.75" customHeight="1" spans="1:26">
      <c r="A36" s="61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62"/>
      <c r="P36" s="13"/>
      <c r="Q36" s="63"/>
      <c r="R36" s="61"/>
      <c r="S36" s="61"/>
      <c r="T36" s="63"/>
      <c r="U36" s="13"/>
      <c r="V36" s="13"/>
      <c r="W36" s="63"/>
      <c r="X36" s="63"/>
      <c r="Y36" s="63"/>
      <c r="Z36" s="63"/>
    </row>
    <row r="37" ht="15.75" customHeight="1" spans="1:26">
      <c r="A37" s="61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62"/>
      <c r="P37" s="13"/>
      <c r="Q37" s="63"/>
      <c r="R37" s="61"/>
      <c r="S37" s="61"/>
      <c r="T37" s="63"/>
      <c r="U37" s="13"/>
      <c r="V37" s="13"/>
      <c r="W37" s="63"/>
      <c r="X37" s="63"/>
      <c r="Y37" s="63"/>
      <c r="Z37" s="63"/>
    </row>
    <row r="38" ht="15.75" customHeight="1" spans="1:26">
      <c r="A38" s="6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62"/>
      <c r="P38" s="13"/>
      <c r="Q38" s="63"/>
      <c r="R38" s="61"/>
      <c r="S38" s="61"/>
      <c r="T38" s="63"/>
      <c r="U38" s="13"/>
      <c r="V38" s="13"/>
      <c r="W38" s="63"/>
      <c r="X38" s="63"/>
      <c r="Y38" s="63"/>
      <c r="Z38" s="63"/>
    </row>
    <row r="39" ht="15.75" customHeight="1" spans="1:26">
      <c r="A39" s="61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62"/>
      <c r="P39" s="13"/>
      <c r="Q39" s="63"/>
      <c r="R39" s="61"/>
      <c r="S39" s="61"/>
      <c r="T39" s="63"/>
      <c r="U39" s="13"/>
      <c r="V39" s="13"/>
      <c r="W39" s="63"/>
      <c r="X39" s="63"/>
      <c r="Y39" s="63"/>
      <c r="Z39" s="63"/>
    </row>
    <row r="40" ht="15.75" customHeight="1" spans="1:26">
      <c r="A40" s="61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62"/>
      <c r="P40" s="13"/>
      <c r="Q40" s="63"/>
      <c r="R40" s="61"/>
      <c r="S40" s="61"/>
      <c r="T40" s="63"/>
      <c r="U40" s="13"/>
      <c r="V40" s="13"/>
      <c r="W40" s="63"/>
      <c r="X40" s="63"/>
      <c r="Y40" s="63"/>
      <c r="Z40" s="63"/>
    </row>
    <row r="41" ht="15.75" customHeight="1" spans="1:26">
      <c r="A41" s="61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62"/>
      <c r="P41" s="13"/>
      <c r="Q41" s="63"/>
      <c r="R41" s="61"/>
      <c r="S41" s="61"/>
      <c r="T41" s="63"/>
      <c r="U41" s="13"/>
      <c r="V41" s="13"/>
      <c r="W41" s="63"/>
      <c r="X41" s="63"/>
      <c r="Y41" s="63"/>
      <c r="Z41" s="63"/>
    </row>
    <row r="42" ht="15.75" customHeight="1" spans="1:26">
      <c r="A42" s="61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62"/>
      <c r="P42" s="13"/>
      <c r="Q42" s="63"/>
      <c r="R42" s="61"/>
      <c r="S42" s="61"/>
      <c r="T42" s="63"/>
      <c r="U42" s="13"/>
      <c r="V42" s="13"/>
      <c r="W42" s="63"/>
      <c r="X42" s="63"/>
      <c r="Y42" s="63"/>
      <c r="Z42" s="63"/>
    </row>
    <row r="43" ht="15.75" customHeight="1" spans="1:26">
      <c r="A43" s="61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62"/>
      <c r="P43" s="13"/>
      <c r="Q43" s="63"/>
      <c r="R43" s="61"/>
      <c r="S43" s="61"/>
      <c r="T43" s="63"/>
      <c r="U43" s="13"/>
      <c r="V43" s="13"/>
      <c r="W43" s="63"/>
      <c r="X43" s="63"/>
      <c r="Y43" s="63"/>
      <c r="Z43" s="63"/>
    </row>
    <row r="44" ht="15.75" customHeight="1" spans="1:26">
      <c r="A44" s="61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62"/>
      <c r="P44" s="13"/>
      <c r="Q44" s="63"/>
      <c r="R44" s="61"/>
      <c r="S44" s="61"/>
      <c r="T44" s="63"/>
      <c r="U44" s="13"/>
      <c r="V44" s="13"/>
      <c r="W44" s="63"/>
      <c r="X44" s="63"/>
      <c r="Y44" s="63"/>
      <c r="Z44" s="63"/>
    </row>
    <row r="45" ht="15.75" customHeight="1" spans="1:26">
      <c r="A45" s="61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62"/>
      <c r="P45" s="13"/>
      <c r="Q45" s="63"/>
      <c r="R45" s="61"/>
      <c r="S45" s="61"/>
      <c r="T45" s="63"/>
      <c r="U45" s="13"/>
      <c r="V45" s="13"/>
      <c r="W45" s="63"/>
      <c r="X45" s="63"/>
      <c r="Y45" s="63"/>
      <c r="Z45" s="63"/>
    </row>
    <row r="46" ht="15.75" customHeight="1" spans="1:26">
      <c r="A46" s="61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62"/>
      <c r="P46" s="13"/>
      <c r="Q46" s="63"/>
      <c r="R46" s="61"/>
      <c r="S46" s="61"/>
      <c r="T46" s="63"/>
      <c r="U46" s="13"/>
      <c r="V46" s="13"/>
      <c r="W46" s="63"/>
      <c r="X46" s="63"/>
      <c r="Y46" s="63"/>
      <c r="Z46" s="63"/>
    </row>
    <row r="47" ht="15.75" customHeight="1" spans="1:26">
      <c r="A47" s="61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62"/>
      <c r="P47" s="13"/>
      <c r="Q47" s="63"/>
      <c r="R47" s="61"/>
      <c r="S47" s="61"/>
      <c r="T47" s="63"/>
      <c r="U47" s="13"/>
      <c r="V47" s="13"/>
      <c r="W47" s="63"/>
      <c r="X47" s="63"/>
      <c r="Y47" s="63"/>
      <c r="Z47" s="63"/>
    </row>
    <row r="48" ht="15.75" customHeight="1" spans="1:26">
      <c r="A48" s="61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62"/>
      <c r="P48" s="13"/>
      <c r="Q48" s="63"/>
      <c r="R48" s="61"/>
      <c r="S48" s="61"/>
      <c r="T48" s="63"/>
      <c r="U48" s="13"/>
      <c r="V48" s="13"/>
      <c r="W48" s="63"/>
      <c r="X48" s="63"/>
      <c r="Y48" s="63"/>
      <c r="Z48" s="63"/>
    </row>
    <row r="49" ht="15.75" customHeight="1" spans="1:26">
      <c r="A49" s="6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62"/>
      <c r="P49" s="13"/>
      <c r="Q49" s="63"/>
      <c r="R49" s="61"/>
      <c r="S49" s="61"/>
      <c r="T49" s="63"/>
      <c r="U49" s="13"/>
      <c r="V49" s="13"/>
      <c r="W49" s="63"/>
      <c r="X49" s="63"/>
      <c r="Y49" s="63"/>
      <c r="Z49" s="63"/>
    </row>
    <row r="50" ht="15.75" customHeight="1" spans="1:26">
      <c r="A50" s="6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62"/>
      <c r="P50" s="13"/>
      <c r="Q50" s="63"/>
      <c r="R50" s="61"/>
      <c r="S50" s="61"/>
      <c r="T50" s="63"/>
      <c r="U50" s="13"/>
      <c r="V50" s="13"/>
      <c r="W50" s="63"/>
      <c r="X50" s="63"/>
      <c r="Y50" s="63"/>
      <c r="Z50" s="63"/>
    </row>
    <row r="51" ht="15.75" customHeight="1" spans="1:26">
      <c r="A51" s="6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62"/>
      <c r="P51" s="13"/>
      <c r="Q51" s="63"/>
      <c r="R51" s="61"/>
      <c r="S51" s="61"/>
      <c r="T51" s="63"/>
      <c r="U51" s="13"/>
      <c r="V51" s="13"/>
      <c r="W51" s="63"/>
      <c r="X51" s="63"/>
      <c r="Y51" s="63"/>
      <c r="Z51" s="63"/>
    </row>
    <row r="52" ht="15.75" customHeight="1" spans="1:26">
      <c r="A52" s="61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62"/>
      <c r="P52" s="13"/>
      <c r="Q52" s="63"/>
      <c r="R52" s="61"/>
      <c r="S52" s="61"/>
      <c r="T52" s="63"/>
      <c r="U52" s="13"/>
      <c r="V52" s="13"/>
      <c r="W52" s="63"/>
      <c r="X52" s="63"/>
      <c r="Y52" s="63"/>
      <c r="Z52" s="63"/>
    </row>
    <row r="53" ht="15.75" customHeight="1" spans="1:26">
      <c r="A53" s="61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62"/>
      <c r="P53" s="13"/>
      <c r="Q53" s="63"/>
      <c r="R53" s="61"/>
      <c r="S53" s="61"/>
      <c r="T53" s="63"/>
      <c r="U53" s="13"/>
      <c r="V53" s="13"/>
      <c r="W53" s="63"/>
      <c r="X53" s="63"/>
      <c r="Y53" s="63"/>
      <c r="Z53" s="63"/>
    </row>
    <row r="54" ht="15.75" customHeight="1" spans="1:26">
      <c r="A54" s="61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62"/>
      <c r="P54" s="13"/>
      <c r="Q54" s="63"/>
      <c r="R54" s="61"/>
      <c r="S54" s="61"/>
      <c r="T54" s="63"/>
      <c r="U54" s="13"/>
      <c r="V54" s="13"/>
      <c r="W54" s="63"/>
      <c r="X54" s="63"/>
      <c r="Y54" s="63"/>
      <c r="Z54" s="63"/>
    </row>
    <row r="55" ht="15.75" customHeight="1" spans="1:26">
      <c r="A55" s="61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62"/>
      <c r="P55" s="13"/>
      <c r="Q55" s="63"/>
      <c r="R55" s="61"/>
      <c r="S55" s="61"/>
      <c r="T55" s="63"/>
      <c r="U55" s="13"/>
      <c r="V55" s="13"/>
      <c r="W55" s="63"/>
      <c r="X55" s="63"/>
      <c r="Y55" s="63"/>
      <c r="Z55" s="63"/>
    </row>
    <row r="56" ht="15.75" customHeight="1" spans="1:26">
      <c r="A56" s="61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62"/>
      <c r="P56" s="13"/>
      <c r="Q56" s="63"/>
      <c r="R56" s="61"/>
      <c r="S56" s="61"/>
      <c r="T56" s="63"/>
      <c r="U56" s="13"/>
      <c r="V56" s="13"/>
      <c r="W56" s="63"/>
      <c r="X56" s="63"/>
      <c r="Y56" s="63"/>
      <c r="Z56" s="63"/>
    </row>
    <row r="57" ht="15.75" customHeight="1" spans="1:26">
      <c r="A57" s="61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62"/>
      <c r="P57" s="13"/>
      <c r="Q57" s="63"/>
      <c r="R57" s="61"/>
      <c r="S57" s="61"/>
      <c r="T57" s="63"/>
      <c r="U57" s="13"/>
      <c r="V57" s="13"/>
      <c r="W57" s="63"/>
      <c r="X57" s="63"/>
      <c r="Y57" s="63"/>
      <c r="Z57" s="63"/>
    </row>
    <row r="58" ht="15.75" customHeight="1" spans="1:26">
      <c r="A58" s="61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62"/>
      <c r="P58" s="13"/>
      <c r="Q58" s="63"/>
      <c r="R58" s="61"/>
      <c r="S58" s="61"/>
      <c r="T58" s="63"/>
      <c r="U58" s="13"/>
      <c r="V58" s="13"/>
      <c r="W58" s="63"/>
      <c r="X58" s="63"/>
      <c r="Y58" s="63"/>
      <c r="Z58" s="63"/>
    </row>
    <row r="59" ht="15.75" customHeight="1" spans="1:26">
      <c r="A59" s="61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62"/>
      <c r="P59" s="13"/>
      <c r="Q59" s="63"/>
      <c r="R59" s="61"/>
      <c r="S59" s="61"/>
      <c r="T59" s="63"/>
      <c r="U59" s="13"/>
      <c r="V59" s="13"/>
      <c r="W59" s="63"/>
      <c r="X59" s="63"/>
      <c r="Y59" s="63"/>
      <c r="Z59" s="63"/>
    </row>
    <row r="60" ht="15.75" customHeight="1" spans="1:26">
      <c r="A60" s="61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62"/>
      <c r="P60" s="13"/>
      <c r="Q60" s="63"/>
      <c r="R60" s="61"/>
      <c r="S60" s="61"/>
      <c r="T60" s="63"/>
      <c r="U60" s="13"/>
      <c r="V60" s="13"/>
      <c r="W60" s="63"/>
      <c r="X60" s="63"/>
      <c r="Y60" s="63"/>
      <c r="Z60" s="63"/>
    </row>
    <row r="61" ht="15.75" customHeight="1" spans="1:26">
      <c r="A61" s="61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62"/>
      <c r="P61" s="13"/>
      <c r="Q61" s="63"/>
      <c r="R61" s="61"/>
      <c r="S61" s="61"/>
      <c r="T61" s="63"/>
      <c r="U61" s="13"/>
      <c r="V61" s="13"/>
      <c r="W61" s="63"/>
      <c r="X61" s="63"/>
      <c r="Y61" s="63"/>
      <c r="Z61" s="63"/>
    </row>
    <row r="62" ht="15.75" customHeight="1" spans="1:26">
      <c r="A62" s="61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62"/>
      <c r="P62" s="13"/>
      <c r="Q62" s="63"/>
      <c r="R62" s="61"/>
      <c r="S62" s="61"/>
      <c r="T62" s="63"/>
      <c r="U62" s="13"/>
      <c r="V62" s="13"/>
      <c r="W62" s="63"/>
      <c r="X62" s="63"/>
      <c r="Y62" s="63"/>
      <c r="Z62" s="63"/>
    </row>
    <row r="63" ht="15.75" customHeight="1" spans="1:26">
      <c r="A63" s="61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62"/>
      <c r="P63" s="13"/>
      <c r="Q63" s="63"/>
      <c r="R63" s="61"/>
      <c r="S63" s="61"/>
      <c r="T63" s="63"/>
      <c r="U63" s="13"/>
      <c r="V63" s="13"/>
      <c r="W63" s="63"/>
      <c r="X63" s="63"/>
      <c r="Y63" s="63"/>
      <c r="Z63" s="63"/>
    </row>
    <row r="64" ht="15.75" customHeight="1" spans="1:26">
      <c r="A64" s="61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62"/>
      <c r="P64" s="13"/>
      <c r="Q64" s="63"/>
      <c r="R64" s="61"/>
      <c r="S64" s="61"/>
      <c r="T64" s="63"/>
      <c r="U64" s="13"/>
      <c r="V64" s="13"/>
      <c r="W64" s="63"/>
      <c r="X64" s="63"/>
      <c r="Y64" s="63"/>
      <c r="Z64" s="6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000"/>
  <sheetViews>
    <sheetView workbookViewId="0">
      <selection activeCell="A1" sqref="A1"/>
    </sheetView>
  </sheetViews>
  <sheetFormatPr defaultColWidth="14.4285714285714" defaultRowHeight="15" customHeight="1"/>
  <cols>
    <col min="1" max="6" width="14.4285714285714" customWidth="1"/>
    <col min="17" max="17" width="16" customWidth="1"/>
    <col min="24" max="24" width="16" customWidth="1"/>
    <col min="38" max="38" width="15.2857142857143" customWidth="1"/>
  </cols>
  <sheetData>
    <row r="1" ht="15.75" customHeight="1" spans="1:39">
      <c r="A1" s="13" t="str">
        <f>IFERROR(__xludf.DUMMYFUNCTION("importrange(""https://docs.google.com/spreadsheets/d/1iukWGMS2E1NkLLshP_owgy1x_vxVvOm3UDJNrLMnm6k/edit#gid=1358647330"",""ORDER!A1:AJ99999"")"),"#REF!")</f>
        <v>#REF!</v>
      </c>
      <c r="W1" s="51"/>
      <c r="X1" s="52"/>
      <c r="Y1" s="52"/>
      <c r="Z1" s="52"/>
      <c r="AA1" s="52"/>
      <c r="AB1" s="52"/>
      <c r="AC1" s="52"/>
      <c r="AD1" s="53"/>
      <c r="AE1" s="52"/>
      <c r="AF1" s="52"/>
      <c r="AG1" s="52"/>
      <c r="AH1" s="52"/>
      <c r="AI1" s="52"/>
      <c r="AJ1" s="52"/>
      <c r="AK1" s="54" t="s">
        <v>14</v>
      </c>
      <c r="AL1" s="55" t="s">
        <v>15</v>
      </c>
      <c r="AM1" s="56" t="s">
        <v>16</v>
      </c>
    </row>
    <row r="2" ht="15.75" customHeight="1" spans="37:38">
      <c r="AK2" s="57"/>
      <c r="AL2" s="58"/>
    </row>
    <row r="3" ht="15.75" customHeight="1" spans="37:40">
      <c r="AK3" s="58" t="str">
        <f t="shared" ref="AK3:AK24" si="0">IF(X3&gt;0,Q3-X3,"")</f>
        <v/>
      </c>
      <c r="AL3" s="58" t="str">
        <f t="shared" ref="AL3:AL23" si="1">IF(AA3&gt;0,AA3-S3,"")</f>
        <v/>
      </c>
      <c r="AM3" s="13" t="str">
        <f t="shared" ref="AM3:AM22" si="2">IF(AK3&lt;14,"YES","NO")</f>
        <v>NO</v>
      </c>
      <c r="AN3" s="59"/>
    </row>
    <row r="4" ht="15.75" customHeight="1" spans="37:40">
      <c r="AK4" s="58" t="str">
        <f t="shared" si="0"/>
        <v/>
      </c>
      <c r="AL4" s="58" t="str">
        <f t="shared" si="1"/>
        <v/>
      </c>
      <c r="AM4" s="13" t="str">
        <f t="shared" si="2"/>
        <v>NO</v>
      </c>
      <c r="AN4" s="59"/>
    </row>
    <row r="5" ht="15.75" customHeight="1" spans="37:40">
      <c r="AK5" s="58" t="str">
        <f t="shared" si="0"/>
        <v/>
      </c>
      <c r="AL5" s="58" t="str">
        <f t="shared" si="1"/>
        <v/>
      </c>
      <c r="AM5" s="13" t="str">
        <f t="shared" si="2"/>
        <v>NO</v>
      </c>
      <c r="AN5" s="59"/>
    </row>
    <row r="6" ht="15.75" customHeight="1" spans="37:40">
      <c r="AK6" s="58" t="str">
        <f t="shared" si="0"/>
        <v/>
      </c>
      <c r="AL6" s="58" t="str">
        <f t="shared" si="1"/>
        <v/>
      </c>
      <c r="AM6" s="13" t="str">
        <f t="shared" si="2"/>
        <v>NO</v>
      </c>
      <c r="AN6" s="59"/>
    </row>
    <row r="7" ht="15.75" customHeight="1" spans="37:40">
      <c r="AK7" s="58" t="str">
        <f t="shared" si="0"/>
        <v/>
      </c>
      <c r="AL7" s="58" t="str">
        <f t="shared" si="1"/>
        <v/>
      </c>
      <c r="AM7" s="13" t="str">
        <f t="shared" si="2"/>
        <v>NO</v>
      </c>
      <c r="AN7" s="59"/>
    </row>
    <row r="8" ht="15.75" customHeight="1" spans="37:40">
      <c r="AK8" s="58" t="str">
        <f t="shared" si="0"/>
        <v/>
      </c>
      <c r="AL8" s="58" t="str">
        <f t="shared" si="1"/>
        <v/>
      </c>
      <c r="AM8" s="13" t="str">
        <f t="shared" si="2"/>
        <v>NO</v>
      </c>
      <c r="AN8" s="59"/>
    </row>
    <row r="9" ht="15.75" customHeight="1" spans="37:40">
      <c r="AK9" s="58" t="str">
        <f t="shared" si="0"/>
        <v/>
      </c>
      <c r="AL9" s="58" t="str">
        <f t="shared" si="1"/>
        <v/>
      </c>
      <c r="AM9" s="13" t="str">
        <f t="shared" si="2"/>
        <v>NO</v>
      </c>
      <c r="AN9" s="59"/>
    </row>
    <row r="10" ht="15.75" customHeight="1" spans="37:40">
      <c r="AK10" s="58" t="str">
        <f t="shared" si="0"/>
        <v/>
      </c>
      <c r="AL10" s="58" t="str">
        <f t="shared" si="1"/>
        <v/>
      </c>
      <c r="AM10" s="13" t="str">
        <f t="shared" si="2"/>
        <v>NO</v>
      </c>
      <c r="AN10" s="59"/>
    </row>
    <row r="11" ht="15.75" customHeight="1" spans="37:40">
      <c r="AK11" s="58" t="str">
        <f t="shared" si="0"/>
        <v/>
      </c>
      <c r="AL11" s="58" t="str">
        <f t="shared" si="1"/>
        <v/>
      </c>
      <c r="AM11" s="13" t="str">
        <f t="shared" si="2"/>
        <v>NO</v>
      </c>
      <c r="AN11" s="60"/>
    </row>
    <row r="12" ht="15.75" customHeight="1" spans="37:39">
      <c r="AK12" s="58" t="str">
        <f t="shared" si="0"/>
        <v/>
      </c>
      <c r="AL12" s="58" t="str">
        <f t="shared" si="1"/>
        <v/>
      </c>
      <c r="AM12" s="13" t="str">
        <f t="shared" si="2"/>
        <v>NO</v>
      </c>
    </row>
    <row r="13" ht="15.75" customHeight="1" spans="37:39">
      <c r="AK13" s="58" t="str">
        <f t="shared" si="0"/>
        <v/>
      </c>
      <c r="AL13" s="58" t="str">
        <f t="shared" si="1"/>
        <v/>
      </c>
      <c r="AM13" s="13" t="str">
        <f t="shared" si="2"/>
        <v>NO</v>
      </c>
    </row>
    <row r="14" ht="15.75" customHeight="1" spans="37:39">
      <c r="AK14" s="58" t="str">
        <f t="shared" si="0"/>
        <v/>
      </c>
      <c r="AL14" s="58" t="str">
        <f t="shared" si="1"/>
        <v/>
      </c>
      <c r="AM14" s="13" t="str">
        <f t="shared" si="2"/>
        <v>NO</v>
      </c>
    </row>
    <row r="15" ht="15.75" customHeight="1" spans="37:39">
      <c r="AK15" s="58" t="str">
        <f t="shared" si="0"/>
        <v/>
      </c>
      <c r="AL15" s="58" t="str">
        <f t="shared" si="1"/>
        <v/>
      </c>
      <c r="AM15" s="13" t="str">
        <f t="shared" si="2"/>
        <v>NO</v>
      </c>
    </row>
    <row r="16" ht="15.75" customHeight="1" spans="37:39">
      <c r="AK16" s="58" t="str">
        <f t="shared" si="0"/>
        <v/>
      </c>
      <c r="AL16" s="58" t="str">
        <f t="shared" si="1"/>
        <v/>
      </c>
      <c r="AM16" s="13" t="str">
        <f t="shared" si="2"/>
        <v>NO</v>
      </c>
    </row>
    <row r="17" ht="15.75" customHeight="1" spans="37:39">
      <c r="AK17" s="58" t="str">
        <f t="shared" si="0"/>
        <v/>
      </c>
      <c r="AL17" s="58" t="str">
        <f t="shared" si="1"/>
        <v/>
      </c>
      <c r="AM17" s="13" t="str">
        <f t="shared" si="2"/>
        <v>NO</v>
      </c>
    </row>
    <row r="18" ht="15.75" customHeight="1" spans="37:39">
      <c r="AK18" s="58" t="str">
        <f t="shared" si="0"/>
        <v/>
      </c>
      <c r="AL18" s="58" t="str">
        <f t="shared" si="1"/>
        <v/>
      </c>
      <c r="AM18" s="13" t="str">
        <f t="shared" si="2"/>
        <v>NO</v>
      </c>
    </row>
    <row r="19" ht="15.75" customHeight="1" spans="37:39">
      <c r="AK19" s="58" t="str">
        <f t="shared" si="0"/>
        <v/>
      </c>
      <c r="AL19" s="58" t="str">
        <f t="shared" si="1"/>
        <v/>
      </c>
      <c r="AM19" s="13" t="str">
        <f t="shared" si="2"/>
        <v>NO</v>
      </c>
    </row>
    <row r="20" ht="15.75" customHeight="1" spans="37:39">
      <c r="AK20" s="58" t="str">
        <f t="shared" si="0"/>
        <v/>
      </c>
      <c r="AL20" s="58" t="str">
        <f t="shared" si="1"/>
        <v/>
      </c>
      <c r="AM20" s="13" t="str">
        <f t="shared" si="2"/>
        <v>NO</v>
      </c>
    </row>
    <row r="21" ht="15.75" customHeight="1" spans="37:39">
      <c r="AK21" s="58" t="str">
        <f t="shared" si="0"/>
        <v/>
      </c>
      <c r="AL21" s="58" t="str">
        <f t="shared" si="1"/>
        <v/>
      </c>
      <c r="AM21" s="13" t="str">
        <f t="shared" si="2"/>
        <v>NO</v>
      </c>
    </row>
    <row r="22" ht="15.75" customHeight="1" spans="37:39">
      <c r="AK22" s="58" t="str">
        <f t="shared" si="0"/>
        <v/>
      </c>
      <c r="AL22" s="58" t="str">
        <f t="shared" si="1"/>
        <v/>
      </c>
      <c r="AM22" s="13" t="str">
        <f t="shared" si="2"/>
        <v>NO</v>
      </c>
    </row>
    <row r="23" ht="15.75" customHeight="1" spans="37:38">
      <c r="AK23" s="58" t="str">
        <f t="shared" si="0"/>
        <v/>
      </c>
      <c r="AL23" s="58" t="str">
        <f t="shared" si="1"/>
        <v/>
      </c>
    </row>
    <row r="24" ht="15.75" customHeight="1" spans="37:38">
      <c r="AK24" s="58" t="str">
        <f t="shared" si="0"/>
        <v/>
      </c>
      <c r="AL24" s="58"/>
    </row>
    <row r="25" ht="15.75" customHeight="1" spans="37:38">
      <c r="AK25" s="57"/>
      <c r="AL25" s="58"/>
    </row>
    <row r="26" ht="15.75" customHeight="1" spans="37:38">
      <c r="AK26" s="57"/>
      <c r="AL26" s="58"/>
    </row>
    <row r="27" ht="15.75" customHeight="1" spans="37:38">
      <c r="AK27" s="57"/>
      <c r="AL27" s="58"/>
    </row>
    <row r="28" ht="15.75" customHeight="1" spans="37:38">
      <c r="AK28" s="57"/>
      <c r="AL28" s="58"/>
    </row>
    <row r="29" ht="15.75" customHeight="1" spans="37:38">
      <c r="AK29" s="57"/>
      <c r="AL29" s="58"/>
    </row>
    <row r="30" ht="15.75" customHeight="1" spans="37:38">
      <c r="AK30" s="57"/>
      <c r="AL30" s="58"/>
    </row>
    <row r="31" ht="15.75" customHeight="1" spans="37:38">
      <c r="AK31" s="57"/>
      <c r="AL31" s="58"/>
    </row>
    <row r="32" ht="15.75" customHeight="1" spans="37:38">
      <c r="AK32" s="57"/>
      <c r="AL32" s="58"/>
    </row>
    <row r="33" ht="15.75" customHeight="1" spans="37:38">
      <c r="AK33" s="57"/>
      <c r="AL33" s="58"/>
    </row>
    <row r="34" ht="15.75" customHeight="1" spans="37:38">
      <c r="AK34" s="57"/>
      <c r="AL34" s="58"/>
    </row>
    <row r="35" ht="15.75" customHeight="1" spans="37:38">
      <c r="AK35" s="57"/>
      <c r="AL35" s="58"/>
    </row>
    <row r="36" ht="15.75" customHeight="1" spans="37:38">
      <c r="AK36" s="57"/>
      <c r="AL36" s="58"/>
    </row>
    <row r="37" ht="15.75" customHeight="1" spans="37:38">
      <c r="AK37" s="57"/>
      <c r="AL37" s="58"/>
    </row>
    <row r="38" ht="15.75" customHeight="1" spans="37:38">
      <c r="AK38" s="57"/>
      <c r="AL38" s="58"/>
    </row>
    <row r="39" ht="15.75" customHeight="1" spans="37:38">
      <c r="AK39" s="57"/>
      <c r="AL39" s="58"/>
    </row>
    <row r="40" ht="15.75" customHeight="1" spans="37:38">
      <c r="AK40" s="57"/>
      <c r="AL40" s="58"/>
    </row>
    <row r="41" ht="15.75" customHeight="1" spans="37:38">
      <c r="AK41" s="57"/>
      <c r="AL41" s="58"/>
    </row>
    <row r="42" ht="15.75" customHeight="1" spans="37:38">
      <c r="AK42" s="57"/>
      <c r="AL42" s="58"/>
    </row>
    <row r="43" ht="15.75" customHeight="1" spans="37:38">
      <c r="AK43" s="57"/>
      <c r="AL43" s="58"/>
    </row>
    <row r="44" ht="15.75" customHeight="1" spans="37:38">
      <c r="AK44" s="57"/>
      <c r="AL44" s="58"/>
    </row>
    <row r="45" ht="15.75" customHeight="1" spans="37:38">
      <c r="AK45" s="57"/>
      <c r="AL45" s="58"/>
    </row>
    <row r="46" ht="15.75" customHeight="1" spans="37:38">
      <c r="AK46" s="57"/>
      <c r="AL46" s="58"/>
    </row>
    <row r="47" ht="15.75" customHeight="1" spans="37:38">
      <c r="AK47" s="57"/>
      <c r="AL47" s="58"/>
    </row>
    <row r="48" ht="15.75" customHeight="1" spans="37:38">
      <c r="AK48" s="57"/>
      <c r="AL48" s="58"/>
    </row>
    <row r="49" ht="15.75" customHeight="1" spans="37:38">
      <c r="AK49" s="57"/>
      <c r="AL49" s="58"/>
    </row>
    <row r="50" ht="15.75" customHeight="1" spans="37:38">
      <c r="AK50" s="57"/>
      <c r="AL50" s="58"/>
    </row>
    <row r="51" ht="15.75" customHeight="1" spans="37:38">
      <c r="AK51" s="57"/>
      <c r="AL51" s="58"/>
    </row>
    <row r="52" ht="15.75" customHeight="1" spans="37:38">
      <c r="AK52" s="57"/>
      <c r="AL52" s="58"/>
    </row>
    <row r="53" ht="15.75" customHeight="1" spans="37:38">
      <c r="AK53" s="57"/>
      <c r="AL53" s="58"/>
    </row>
    <row r="54" ht="15.75" customHeight="1" spans="37:38">
      <c r="AK54" s="57"/>
      <c r="AL54" s="58"/>
    </row>
    <row r="55" ht="15.75" customHeight="1" spans="37:38">
      <c r="AK55" s="57"/>
      <c r="AL55" s="58"/>
    </row>
    <row r="56" ht="15.75" customHeight="1" spans="37:38">
      <c r="AK56" s="57"/>
      <c r="AL56" s="58"/>
    </row>
    <row r="57" ht="15.75" customHeight="1" spans="37:38">
      <c r="AK57" s="57"/>
      <c r="AL57" s="58"/>
    </row>
    <row r="58" ht="15.75" customHeight="1" spans="37:38">
      <c r="AK58" s="57"/>
      <c r="AL58" s="58"/>
    </row>
    <row r="59" ht="15.75" customHeight="1" spans="37:38">
      <c r="AK59" s="57"/>
      <c r="AL59" s="58"/>
    </row>
    <row r="60" ht="15.75" customHeight="1" spans="37:38">
      <c r="AK60" s="57"/>
      <c r="AL60" s="58"/>
    </row>
    <row r="61" ht="15.75" customHeight="1" spans="37:38">
      <c r="AK61" s="57"/>
      <c r="AL61" s="58"/>
    </row>
    <row r="62" ht="15.75" customHeight="1" spans="37:38">
      <c r="AK62" s="57"/>
      <c r="AL62" s="58"/>
    </row>
    <row r="63" ht="15.75" customHeight="1" spans="37:38">
      <c r="AK63" s="57"/>
      <c r="AL63" s="58"/>
    </row>
    <row r="64" ht="15.75" customHeight="1" spans="37:38">
      <c r="AK64" s="57"/>
      <c r="AL64" s="58"/>
    </row>
    <row r="65" ht="15.75" customHeight="1" spans="37:38">
      <c r="AK65" s="57"/>
      <c r="AL65" s="58"/>
    </row>
    <row r="66" ht="15.75" customHeight="1" spans="37:38">
      <c r="AK66" s="57"/>
      <c r="AL66" s="58"/>
    </row>
    <row r="67" ht="15.75" customHeight="1" spans="37:38">
      <c r="AK67" s="57"/>
      <c r="AL67" s="58"/>
    </row>
    <row r="68" ht="15.75" customHeight="1" spans="37:38">
      <c r="AK68" s="57"/>
      <c r="AL68" s="58"/>
    </row>
    <row r="69" ht="15.75" customHeight="1" spans="37:38">
      <c r="AK69" s="57"/>
      <c r="AL69" s="58"/>
    </row>
    <row r="70" ht="15.75" customHeight="1" spans="37:38">
      <c r="AK70" s="57"/>
      <c r="AL70" s="58"/>
    </row>
    <row r="71" ht="15.75" customHeight="1" spans="37:38">
      <c r="AK71" s="57"/>
      <c r="AL71" s="58"/>
    </row>
    <row r="72" ht="15.75" customHeight="1" spans="37:38">
      <c r="AK72" s="57"/>
      <c r="AL72" s="58"/>
    </row>
    <row r="73" ht="15.75" customHeight="1" spans="37:38">
      <c r="AK73" s="57"/>
      <c r="AL73" s="58"/>
    </row>
    <row r="74" ht="15.75" customHeight="1" spans="37:38">
      <c r="AK74" s="57"/>
      <c r="AL74" s="58"/>
    </row>
    <row r="75" ht="15.75" customHeight="1" spans="37:38">
      <c r="AK75" s="57"/>
      <c r="AL75" s="58"/>
    </row>
    <row r="76" ht="15.75" customHeight="1" spans="37:38">
      <c r="AK76" s="57"/>
      <c r="AL76" s="58"/>
    </row>
    <row r="77" ht="15.75" customHeight="1" spans="37:38">
      <c r="AK77" s="57"/>
      <c r="AL77" s="58"/>
    </row>
    <row r="78" ht="15.75" customHeight="1" spans="37:38">
      <c r="AK78" s="57"/>
      <c r="AL78" s="58"/>
    </row>
    <row r="79" ht="15.75" customHeight="1" spans="37:38">
      <c r="AK79" s="57"/>
      <c r="AL79" s="58"/>
    </row>
    <row r="80" ht="15.75" customHeight="1" spans="37:38">
      <c r="AK80" s="57"/>
      <c r="AL80" s="58"/>
    </row>
    <row r="81" ht="15.75" customHeight="1" spans="37:38">
      <c r="AK81" s="57"/>
      <c r="AL81" s="58"/>
    </row>
    <row r="82" ht="15.75" customHeight="1" spans="37:38">
      <c r="AK82" s="57"/>
      <c r="AL82" s="58"/>
    </row>
    <row r="83" ht="15.75" customHeight="1" spans="37:38">
      <c r="AK83" s="57"/>
      <c r="AL83" s="58"/>
    </row>
    <row r="84" ht="15.75" customHeight="1" spans="37:38">
      <c r="AK84" s="57"/>
      <c r="AL84" s="58"/>
    </row>
    <row r="85" ht="15.75" customHeight="1" spans="37:38">
      <c r="AK85" s="57"/>
      <c r="AL85" s="58"/>
    </row>
    <row r="86" ht="15.75" customHeight="1" spans="37:38">
      <c r="AK86" s="57"/>
      <c r="AL86" s="58"/>
    </row>
    <row r="87" ht="15.75" customHeight="1" spans="37:38">
      <c r="AK87" s="57"/>
      <c r="AL87" s="58"/>
    </row>
    <row r="88" ht="15.75" customHeight="1" spans="37:38">
      <c r="AK88" s="57"/>
      <c r="AL88" s="58"/>
    </row>
    <row r="89" ht="15.75" customHeight="1" spans="37:38">
      <c r="AK89" s="57"/>
      <c r="AL89" s="58"/>
    </row>
    <row r="90" ht="15.75" customHeight="1" spans="37:38">
      <c r="AK90" s="57"/>
      <c r="AL90" s="58"/>
    </row>
    <row r="91" ht="15.75" customHeight="1" spans="37:38">
      <c r="AK91" s="57"/>
      <c r="AL91" s="58"/>
    </row>
    <row r="92" ht="15.75" customHeight="1" spans="37:38">
      <c r="AK92" s="57"/>
      <c r="AL92" s="58"/>
    </row>
    <row r="93" ht="15.75" customHeight="1" spans="37:38">
      <c r="AK93" s="57"/>
      <c r="AL93" s="58"/>
    </row>
    <row r="94" ht="15.75" customHeight="1" spans="37:38">
      <c r="AK94" s="57"/>
      <c r="AL94" s="58"/>
    </row>
    <row r="95" ht="15.75" customHeight="1" spans="37:38">
      <c r="AK95" s="57"/>
      <c r="AL95" s="58"/>
    </row>
    <row r="96" ht="15.75" customHeight="1" spans="37:38">
      <c r="AK96" s="57"/>
      <c r="AL96" s="58"/>
    </row>
    <row r="97" ht="15.75" customHeight="1" spans="37:38">
      <c r="AK97" s="57"/>
      <c r="AL97" s="58"/>
    </row>
    <row r="98" ht="15.75" customHeight="1" spans="37:38">
      <c r="AK98" s="57"/>
      <c r="AL98" s="58"/>
    </row>
    <row r="99" ht="15.75" customHeight="1" spans="37:38">
      <c r="AK99" s="57"/>
      <c r="AL99" s="58"/>
    </row>
    <row r="100" ht="15.75" customHeight="1" spans="37:38">
      <c r="AK100" s="57"/>
      <c r="AL100" s="58"/>
    </row>
    <row r="101" ht="15.75" customHeight="1" spans="37:38">
      <c r="AK101" s="57"/>
      <c r="AL101" s="58"/>
    </row>
    <row r="102" ht="15.75" customHeight="1" spans="37:38">
      <c r="AK102" s="57"/>
      <c r="AL102" s="58"/>
    </row>
    <row r="103" ht="15.75" customHeight="1" spans="37:38">
      <c r="AK103" s="57"/>
      <c r="AL103" s="58"/>
    </row>
    <row r="104" ht="15.75" customHeight="1" spans="37:38">
      <c r="AK104" s="57"/>
      <c r="AL104" s="58"/>
    </row>
    <row r="105" ht="15.75" customHeight="1" spans="37:38">
      <c r="AK105" s="57"/>
      <c r="AL105" s="58"/>
    </row>
    <row r="106" ht="15.75" customHeight="1" spans="37:38">
      <c r="AK106" s="57"/>
      <c r="AL106" s="58"/>
    </row>
    <row r="107" ht="15.75" customHeight="1" spans="37:38">
      <c r="AK107" s="57"/>
      <c r="AL107" s="58"/>
    </row>
    <row r="108" ht="15.75" customHeight="1" spans="37:38">
      <c r="AK108" s="57"/>
      <c r="AL108" s="58"/>
    </row>
    <row r="109" ht="15.75" customHeight="1" spans="37:38">
      <c r="AK109" s="57"/>
      <c r="AL109" s="58"/>
    </row>
    <row r="110" ht="15.75" customHeight="1" spans="37:38">
      <c r="AK110" s="57"/>
      <c r="AL110" s="58"/>
    </row>
    <row r="111" ht="15.75" customHeight="1" spans="37:38">
      <c r="AK111" s="57"/>
      <c r="AL111" s="58"/>
    </row>
    <row r="112" ht="15.75" customHeight="1" spans="37:38">
      <c r="AK112" s="57"/>
      <c r="AL112" s="58"/>
    </row>
    <row r="113" ht="15.75" customHeight="1" spans="37:38">
      <c r="AK113" s="57"/>
      <c r="AL113" s="58"/>
    </row>
    <row r="114" ht="15.75" customHeight="1" spans="37:38">
      <c r="AK114" s="57"/>
      <c r="AL114" s="58"/>
    </row>
    <row r="115" ht="15.75" customHeight="1" spans="37:38">
      <c r="AK115" s="57"/>
      <c r="AL115" s="58"/>
    </row>
    <row r="116" ht="15.75" customHeight="1" spans="37:38">
      <c r="AK116" s="57"/>
      <c r="AL116" s="58"/>
    </row>
    <row r="117" ht="15.75" customHeight="1" spans="37:38">
      <c r="AK117" s="57"/>
      <c r="AL117" s="58"/>
    </row>
    <row r="118" ht="15.75" customHeight="1" spans="37:38">
      <c r="AK118" s="57"/>
      <c r="AL118" s="58"/>
    </row>
    <row r="119" ht="15.75" customHeight="1" spans="37:38">
      <c r="AK119" s="57"/>
      <c r="AL119" s="58"/>
    </row>
    <row r="120" ht="15.75" customHeight="1" spans="37:38">
      <c r="AK120" s="57"/>
      <c r="AL120" s="58"/>
    </row>
    <row r="121" ht="15.75" customHeight="1" spans="37:38">
      <c r="AK121" s="57"/>
      <c r="AL121" s="58"/>
    </row>
    <row r="122" ht="15.75" customHeight="1" spans="37:38">
      <c r="AK122" s="57"/>
      <c r="AL122" s="58"/>
    </row>
    <row r="123" ht="15.75" customHeight="1" spans="37:38">
      <c r="AK123" s="57"/>
      <c r="AL123" s="58"/>
    </row>
    <row r="124" ht="15.75" customHeight="1" spans="37:38">
      <c r="AK124" s="57"/>
      <c r="AL124" s="58"/>
    </row>
    <row r="125" ht="15.75" customHeight="1" spans="37:38">
      <c r="AK125" s="57"/>
      <c r="AL125" s="58"/>
    </row>
    <row r="126" ht="15.75" customHeight="1" spans="37:38">
      <c r="AK126" s="57"/>
      <c r="AL126" s="58"/>
    </row>
    <row r="127" ht="15.75" customHeight="1" spans="37:38">
      <c r="AK127" s="57"/>
      <c r="AL127" s="58"/>
    </row>
    <row r="128" ht="15.75" customHeight="1" spans="37:38">
      <c r="AK128" s="57"/>
      <c r="AL128" s="58"/>
    </row>
    <row r="129" ht="15.75" customHeight="1" spans="37:38">
      <c r="AK129" s="57"/>
      <c r="AL129" s="58"/>
    </row>
    <row r="130" ht="15.75" customHeight="1" spans="37:38">
      <c r="AK130" s="57"/>
      <c r="AL130" s="58"/>
    </row>
    <row r="131" ht="15.75" customHeight="1" spans="37:38">
      <c r="AK131" s="57"/>
      <c r="AL131" s="58"/>
    </row>
    <row r="132" ht="15.75" customHeight="1" spans="37:38">
      <c r="AK132" s="57"/>
      <c r="AL132" s="58"/>
    </row>
    <row r="133" ht="15.75" customHeight="1" spans="37:38">
      <c r="AK133" s="57"/>
      <c r="AL133" s="58"/>
    </row>
    <row r="134" ht="15.75" customHeight="1" spans="37:38">
      <c r="AK134" s="57"/>
      <c r="AL134" s="58"/>
    </row>
    <row r="135" ht="15.75" customHeight="1" spans="37:38">
      <c r="AK135" s="57"/>
      <c r="AL135" s="58"/>
    </row>
    <row r="136" ht="15.75" customHeight="1" spans="37:38">
      <c r="AK136" s="57"/>
      <c r="AL136" s="58"/>
    </row>
    <row r="137" ht="15.75" customHeight="1" spans="37:38">
      <c r="AK137" s="57"/>
      <c r="AL137" s="58"/>
    </row>
    <row r="138" ht="15.75" customHeight="1" spans="37:38">
      <c r="AK138" s="57"/>
      <c r="AL138" s="58"/>
    </row>
    <row r="139" ht="15.75" customHeight="1" spans="37:38">
      <c r="AK139" s="57"/>
      <c r="AL139" s="58"/>
    </row>
    <row r="140" ht="15.75" customHeight="1" spans="37:38">
      <c r="AK140" s="57"/>
      <c r="AL140" s="58"/>
    </row>
    <row r="141" ht="15.75" customHeight="1" spans="37:38">
      <c r="AK141" s="57"/>
      <c r="AL141" s="58"/>
    </row>
    <row r="142" ht="15.75" customHeight="1" spans="37:38">
      <c r="AK142" s="57"/>
      <c r="AL142" s="58"/>
    </row>
    <row r="143" ht="15.75" customHeight="1" spans="37:38">
      <c r="AK143" s="57"/>
      <c r="AL143" s="58"/>
    </row>
    <row r="144" ht="15.75" customHeight="1" spans="37:38">
      <c r="AK144" s="57"/>
      <c r="AL144" s="58"/>
    </row>
    <row r="145" ht="15.75" customHeight="1" spans="37:38">
      <c r="AK145" s="57"/>
      <c r="AL145" s="58"/>
    </row>
    <row r="146" ht="15.75" customHeight="1" spans="37:38">
      <c r="AK146" s="57"/>
      <c r="AL146" s="58"/>
    </row>
    <row r="147" ht="15.75" customHeight="1" spans="37:38">
      <c r="AK147" s="57"/>
      <c r="AL147" s="58"/>
    </row>
    <row r="148" ht="15.75" customHeight="1" spans="37:38">
      <c r="AK148" s="57"/>
      <c r="AL148" s="58"/>
    </row>
    <row r="149" ht="15.75" customHeight="1" spans="37:38">
      <c r="AK149" s="57"/>
      <c r="AL149" s="58"/>
    </row>
    <row r="150" ht="15.75" customHeight="1" spans="37:38">
      <c r="AK150" s="57"/>
      <c r="AL150" s="58"/>
    </row>
    <row r="151" ht="15.75" customHeight="1" spans="37:38">
      <c r="AK151" s="57"/>
      <c r="AL151" s="58"/>
    </row>
    <row r="152" ht="15.75" customHeight="1" spans="37:38">
      <c r="AK152" s="57"/>
      <c r="AL152" s="58"/>
    </row>
    <row r="153" ht="15.75" customHeight="1" spans="37:38">
      <c r="AK153" s="57"/>
      <c r="AL153" s="58"/>
    </row>
    <row r="154" ht="15.75" customHeight="1" spans="37:38">
      <c r="AK154" s="57"/>
      <c r="AL154" s="58"/>
    </row>
    <row r="155" ht="15.75" customHeight="1" spans="37:38">
      <c r="AK155" s="57"/>
      <c r="AL155" s="58"/>
    </row>
    <row r="156" ht="15.75" customHeight="1" spans="37:38">
      <c r="AK156" s="57"/>
      <c r="AL156" s="58"/>
    </row>
    <row r="157" ht="15.75" customHeight="1" spans="37:38">
      <c r="AK157" s="57"/>
      <c r="AL157" s="58"/>
    </row>
    <row r="158" ht="15.75" customHeight="1" spans="37:38">
      <c r="AK158" s="57"/>
      <c r="AL158" s="58"/>
    </row>
    <row r="159" ht="15.75" customHeight="1" spans="37:38">
      <c r="AK159" s="57"/>
      <c r="AL159" s="58"/>
    </row>
    <row r="160" ht="15.75" customHeight="1" spans="37:38">
      <c r="AK160" s="57"/>
      <c r="AL160" s="58"/>
    </row>
    <row r="161" ht="15.75" customHeight="1" spans="37:38">
      <c r="AK161" s="57"/>
      <c r="AL161" s="58"/>
    </row>
    <row r="162" ht="15.75" customHeight="1" spans="37:38">
      <c r="AK162" s="57"/>
      <c r="AL162" s="58"/>
    </row>
    <row r="163" ht="15.75" customHeight="1" spans="37:38">
      <c r="AK163" s="57"/>
      <c r="AL163" s="58"/>
    </row>
    <row r="164" ht="15.75" customHeight="1" spans="37:38">
      <c r="AK164" s="57"/>
      <c r="AL164" s="58"/>
    </row>
    <row r="165" ht="15.75" customHeight="1" spans="37:38">
      <c r="AK165" s="57"/>
      <c r="AL165" s="58"/>
    </row>
    <row r="166" ht="15.75" customHeight="1" spans="37:38">
      <c r="AK166" s="57"/>
      <c r="AL166" s="58"/>
    </row>
    <row r="167" ht="15.75" customHeight="1" spans="37:38">
      <c r="AK167" s="57"/>
      <c r="AL167" s="58"/>
    </row>
    <row r="168" ht="15.75" customHeight="1" spans="37:38">
      <c r="AK168" s="57"/>
      <c r="AL168" s="58"/>
    </row>
    <row r="169" ht="15.75" customHeight="1" spans="37:38">
      <c r="AK169" s="57"/>
      <c r="AL169" s="58"/>
    </row>
    <row r="170" ht="15.75" customHeight="1" spans="37:38">
      <c r="AK170" s="57"/>
      <c r="AL170" s="58"/>
    </row>
    <row r="171" ht="15.75" customHeight="1" spans="37:38">
      <c r="AK171" s="57"/>
      <c r="AL171" s="58"/>
    </row>
    <row r="172" ht="15.75" customHeight="1" spans="37:38">
      <c r="AK172" s="57"/>
      <c r="AL172" s="58"/>
    </row>
    <row r="173" ht="15.75" customHeight="1" spans="37:38">
      <c r="AK173" s="57"/>
      <c r="AL173" s="58"/>
    </row>
    <row r="174" ht="15.75" customHeight="1" spans="37:38">
      <c r="AK174" s="57"/>
      <c r="AL174" s="58"/>
    </row>
    <row r="175" ht="15.75" customHeight="1" spans="37:38">
      <c r="AK175" s="57"/>
      <c r="AL175" s="58"/>
    </row>
    <row r="176" ht="15.75" customHeight="1" spans="37:38">
      <c r="AK176" s="57"/>
      <c r="AL176" s="58"/>
    </row>
    <row r="177" ht="15.75" customHeight="1" spans="37:38">
      <c r="AK177" s="57"/>
      <c r="AL177" s="58"/>
    </row>
    <row r="178" ht="15.75" customHeight="1" spans="37:38">
      <c r="AK178" s="57"/>
      <c r="AL178" s="58"/>
    </row>
    <row r="179" ht="15.75" customHeight="1" spans="37:38">
      <c r="AK179" s="57"/>
      <c r="AL179" s="58"/>
    </row>
    <row r="180" ht="15.75" customHeight="1" spans="37:38">
      <c r="AK180" s="57"/>
      <c r="AL180" s="58"/>
    </row>
    <row r="181" ht="15.75" customHeight="1" spans="37:38">
      <c r="AK181" s="57"/>
      <c r="AL181" s="58"/>
    </row>
    <row r="182" ht="15.75" customHeight="1" spans="37:38">
      <c r="AK182" s="57"/>
      <c r="AL182" s="58"/>
    </row>
    <row r="183" ht="15.75" customHeight="1" spans="37:38">
      <c r="AK183" s="57"/>
      <c r="AL183" s="58"/>
    </row>
    <row r="184" ht="15.75" customHeight="1" spans="37:38">
      <c r="AK184" s="57"/>
      <c r="AL184" s="58"/>
    </row>
    <row r="185" ht="15.75" customHeight="1" spans="37:38">
      <c r="AK185" s="57"/>
      <c r="AL185" s="58"/>
    </row>
    <row r="186" ht="15.75" customHeight="1" spans="37:38">
      <c r="AK186" s="57"/>
      <c r="AL186" s="58"/>
    </row>
    <row r="187" ht="15.75" customHeight="1" spans="37:38">
      <c r="AK187" s="57"/>
      <c r="AL187" s="58"/>
    </row>
    <row r="188" ht="15.75" customHeight="1" spans="37:38">
      <c r="AK188" s="57"/>
      <c r="AL188" s="58"/>
    </row>
    <row r="189" ht="15.75" customHeight="1" spans="37:38">
      <c r="AK189" s="57"/>
      <c r="AL189" s="58"/>
    </row>
    <row r="190" ht="15.75" customHeight="1" spans="37:38">
      <c r="AK190" s="57"/>
      <c r="AL190" s="58"/>
    </row>
    <row r="191" ht="15.75" customHeight="1" spans="37:38">
      <c r="AK191" s="57"/>
      <c r="AL191" s="58"/>
    </row>
    <row r="192" ht="15.75" customHeight="1" spans="37:38">
      <c r="AK192" s="57"/>
      <c r="AL192" s="58"/>
    </row>
    <row r="193" ht="15.75" customHeight="1" spans="37:38">
      <c r="AK193" s="57"/>
      <c r="AL193" s="58"/>
    </row>
    <row r="194" ht="15.75" customHeight="1" spans="37:38">
      <c r="AK194" s="57"/>
      <c r="AL194" s="58"/>
    </row>
    <row r="195" ht="15.75" customHeight="1" spans="37:38">
      <c r="AK195" s="57"/>
      <c r="AL195" s="58"/>
    </row>
    <row r="196" ht="15.75" customHeight="1" spans="37:38">
      <c r="AK196" s="57"/>
      <c r="AL196" s="58"/>
    </row>
    <row r="197" ht="15.75" customHeight="1" spans="37:38">
      <c r="AK197" s="57"/>
      <c r="AL197" s="58"/>
    </row>
    <row r="198" ht="15.75" customHeight="1" spans="37:38">
      <c r="AK198" s="57"/>
      <c r="AL198" s="58"/>
    </row>
    <row r="199" ht="15.75" customHeight="1" spans="37:38">
      <c r="AK199" s="57"/>
      <c r="AL199" s="58"/>
    </row>
    <row r="200" ht="15.75" customHeight="1" spans="37:38">
      <c r="AK200" s="57"/>
      <c r="AL200" s="58"/>
    </row>
    <row r="201" ht="15.75" customHeight="1" spans="37:38">
      <c r="AK201" s="57"/>
      <c r="AL201" s="58"/>
    </row>
    <row r="202" ht="15.75" customHeight="1" spans="37:38">
      <c r="AK202" s="57"/>
      <c r="AL202" s="58"/>
    </row>
    <row r="203" ht="15.75" customHeight="1" spans="37:38">
      <c r="AK203" s="57"/>
      <c r="AL203" s="58"/>
    </row>
    <row r="204" ht="15.75" customHeight="1" spans="37:38">
      <c r="AK204" s="57"/>
      <c r="AL204" s="58"/>
    </row>
    <row r="205" ht="15.75" customHeight="1" spans="37:38">
      <c r="AK205" s="57"/>
      <c r="AL205" s="58"/>
    </row>
    <row r="206" ht="15.75" customHeight="1" spans="37:38">
      <c r="AK206" s="57"/>
      <c r="AL206" s="58"/>
    </row>
    <row r="207" ht="15.75" customHeight="1" spans="37:38">
      <c r="AK207" s="57"/>
      <c r="AL207" s="58"/>
    </row>
    <row r="208" ht="15.75" customHeight="1" spans="37:38">
      <c r="AK208" s="57"/>
      <c r="AL208" s="58"/>
    </row>
    <row r="209" ht="15.75" customHeight="1" spans="37:38">
      <c r="AK209" s="57"/>
      <c r="AL209" s="58"/>
    </row>
    <row r="210" ht="15.75" customHeight="1" spans="37:38">
      <c r="AK210" s="57"/>
      <c r="AL210" s="58"/>
    </row>
    <row r="211" ht="15.75" customHeight="1" spans="37:38">
      <c r="AK211" s="57"/>
      <c r="AL211" s="58"/>
    </row>
    <row r="212" ht="15.75" customHeight="1" spans="37:38">
      <c r="AK212" s="57"/>
      <c r="AL212" s="58"/>
    </row>
    <row r="213" ht="15.75" customHeight="1" spans="37:38">
      <c r="AK213" s="57"/>
      <c r="AL213" s="58"/>
    </row>
    <row r="214" ht="15.75" customHeight="1" spans="37:38">
      <c r="AK214" s="57"/>
      <c r="AL214" s="58"/>
    </row>
    <row r="215" ht="15.75" customHeight="1" spans="37:38">
      <c r="AK215" s="57"/>
      <c r="AL215" s="58"/>
    </row>
    <row r="216" ht="15.75" customHeight="1" spans="37:38">
      <c r="AK216" s="57"/>
      <c r="AL216" s="58"/>
    </row>
    <row r="217" ht="15.75" customHeight="1" spans="37:38">
      <c r="AK217" s="57"/>
      <c r="AL217" s="58"/>
    </row>
    <row r="218" ht="15.75" customHeight="1" spans="37:38">
      <c r="AK218" s="57"/>
      <c r="AL218" s="58"/>
    </row>
    <row r="219" ht="15.75" customHeight="1" spans="37:38">
      <c r="AK219" s="57"/>
      <c r="AL219" s="58"/>
    </row>
    <row r="220" ht="15.75" customHeight="1" spans="37:38">
      <c r="AK220" s="57"/>
      <c r="AL220" s="58"/>
    </row>
    <row r="221" ht="15.75" customHeight="1" spans="37:38">
      <c r="AK221" s="57"/>
      <c r="AL221" s="58"/>
    </row>
    <row r="222" ht="15.75" customHeight="1" spans="37:38">
      <c r="AK222" s="57"/>
      <c r="AL222" s="58"/>
    </row>
    <row r="223" ht="15.75" customHeight="1" spans="37:38">
      <c r="AK223" s="57"/>
      <c r="AL223" s="58"/>
    </row>
    <row r="224" ht="15.75" customHeight="1" spans="37:38">
      <c r="AK224" s="57"/>
      <c r="AL224" s="58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M224">
    <extLst/>
  </autoFilter>
  <customSheetViews>
    <customSheetView guid="{9FD18252-A6D4-4CAB-A753-CDD4651AFAE3}" filter="1" showAutoFilter="1">
      <pageMargins left="0.7" right="0.7" top="0.75" bottom="0.75" header="0.3" footer="0.3"/>
      <headerFooter/>
      <autoFilter ref="AK1:AK224"/>
    </customSheetView>
  </customSheetViews>
  <mergeCells count="2">
    <mergeCell ref="W1:AC1"/>
    <mergeCell ref="AD1:AJ1"/>
  </mergeCells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00"/>
    <outlinePr summaryBelow="0" summaryRight="0"/>
  </sheetPr>
  <dimension ref="A1:W1000"/>
  <sheetViews>
    <sheetView showGridLines="0"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34" customWidth="1"/>
    <col min="2" max="2" width="14.4285714285714" customWidth="1"/>
    <col min="3" max="3" width="18.8571428571429" customWidth="1"/>
    <col min="4" max="4" width="16.1428571428571" customWidth="1"/>
    <col min="5" max="5" width="17.5714285714286" customWidth="1"/>
    <col min="6" max="6" width="17.7142857142857" customWidth="1"/>
    <col min="8" max="8" width="11" customWidth="1"/>
    <col min="12" max="12" width="28.4285714285714" customWidth="1"/>
    <col min="13" max="13" width="27.8571428571429" customWidth="1"/>
    <col min="14" max="14" width="20.7142857142857" customWidth="1"/>
    <col min="20" max="20" width="29.7142857142857" customWidth="1"/>
    <col min="21" max="21" width="21.5714285714286" customWidth="1"/>
    <col min="23" max="23" width="20.7142857142857" customWidth="1"/>
  </cols>
  <sheetData>
    <row r="1" ht="15.75" hidden="1" customHeight="1" spans="1:23">
      <c r="A1" s="31" t="s">
        <v>17</v>
      </c>
      <c r="B1" s="31" t="s">
        <v>11</v>
      </c>
      <c r="T1" s="45"/>
      <c r="U1" s="45"/>
      <c r="V1" s="45"/>
      <c r="W1" s="45"/>
    </row>
    <row r="2" ht="30.75" customHeight="1" spans="12:23">
      <c r="L2" s="31" t="s">
        <v>17</v>
      </c>
      <c r="M2" s="31" t="s">
        <v>11</v>
      </c>
      <c r="T2" s="45"/>
      <c r="U2" s="45"/>
      <c r="V2" s="45"/>
      <c r="W2" s="45"/>
    </row>
    <row r="3" ht="15.75" customHeight="1" spans="1:23">
      <c r="A3" s="32" t="s">
        <v>18</v>
      </c>
      <c r="B3" s="37"/>
      <c r="C3" s="37"/>
      <c r="D3" s="32" t="s">
        <v>19</v>
      </c>
      <c r="E3" s="37"/>
      <c r="F3" s="37"/>
      <c r="G3" s="37"/>
      <c r="H3" s="37"/>
      <c r="I3" s="37"/>
      <c r="J3" s="41"/>
      <c r="T3" s="45"/>
      <c r="U3" s="45"/>
      <c r="V3" s="45"/>
      <c r="W3" s="45"/>
    </row>
    <row r="4" ht="15.75" customHeight="1" spans="1:23">
      <c r="A4" s="32" t="s">
        <v>20</v>
      </c>
      <c r="B4" s="32" t="s">
        <v>21</v>
      </c>
      <c r="C4" s="32" t="s">
        <v>22</v>
      </c>
      <c r="D4" s="32" t="s">
        <v>23</v>
      </c>
      <c r="E4" s="39" t="s">
        <v>24</v>
      </c>
      <c r="F4" s="39" t="s">
        <v>25</v>
      </c>
      <c r="G4" s="39" t="s">
        <v>26</v>
      </c>
      <c r="H4" s="39" t="s">
        <v>27</v>
      </c>
      <c r="I4" s="39" t="s">
        <v>28</v>
      </c>
      <c r="J4" s="33" t="s">
        <v>29</v>
      </c>
      <c r="L4" s="32"/>
      <c r="M4" s="37"/>
      <c r="N4" s="37"/>
      <c r="O4" s="32" t="s">
        <v>30</v>
      </c>
      <c r="P4" s="37"/>
      <c r="Q4" s="37"/>
      <c r="R4" s="37"/>
      <c r="S4" s="41"/>
      <c r="T4" s="45"/>
      <c r="U4" s="45"/>
      <c r="V4" s="45"/>
      <c r="W4" s="45"/>
    </row>
    <row r="5" ht="15.75" customHeight="1" spans="1:23">
      <c r="A5" s="32" t="s">
        <v>31</v>
      </c>
      <c r="B5" s="32" t="s">
        <v>32</v>
      </c>
      <c r="C5" s="32" t="s">
        <v>33</v>
      </c>
      <c r="D5" s="32"/>
      <c r="E5" s="39"/>
      <c r="F5" s="39"/>
      <c r="G5" s="39">
        <v>1</v>
      </c>
      <c r="H5" s="39"/>
      <c r="I5" s="39"/>
      <c r="J5" s="33">
        <v>1</v>
      </c>
      <c r="L5" s="32" t="s">
        <v>34</v>
      </c>
      <c r="M5" s="32" t="s">
        <v>20</v>
      </c>
      <c r="N5" s="32" t="s">
        <v>22</v>
      </c>
      <c r="O5" s="32" t="s">
        <v>35</v>
      </c>
      <c r="P5" s="39" t="s">
        <v>36</v>
      </c>
      <c r="Q5" s="39" t="s">
        <v>37</v>
      </c>
      <c r="R5" s="39" t="s">
        <v>38</v>
      </c>
      <c r="S5" s="46" t="s">
        <v>39</v>
      </c>
      <c r="T5" s="45"/>
      <c r="U5" s="45"/>
      <c r="V5" s="45"/>
      <c r="W5" s="45"/>
    </row>
    <row r="6" ht="15.75" customHeight="1" spans="1:23">
      <c r="A6" s="32" t="s">
        <v>40</v>
      </c>
      <c r="B6" s="32" t="s">
        <v>32</v>
      </c>
      <c r="C6" s="32" t="s">
        <v>41</v>
      </c>
      <c r="D6" s="32"/>
      <c r="E6" s="39"/>
      <c r="F6" s="39"/>
      <c r="G6" s="39"/>
      <c r="H6" s="39"/>
      <c r="I6" s="39">
        <v>1</v>
      </c>
      <c r="J6" s="33">
        <v>1</v>
      </c>
      <c r="L6" s="32" t="s">
        <v>42</v>
      </c>
      <c r="M6" s="32" t="s">
        <v>43</v>
      </c>
      <c r="N6" s="32" t="s">
        <v>44</v>
      </c>
      <c r="O6" s="32">
        <v>7</v>
      </c>
      <c r="P6" s="39">
        <v>4</v>
      </c>
      <c r="Q6" s="39">
        <v>0</v>
      </c>
      <c r="R6" s="39">
        <v>12000000</v>
      </c>
      <c r="S6" s="46">
        <v>14400000</v>
      </c>
      <c r="T6" s="45"/>
      <c r="U6" s="45"/>
      <c r="V6" s="45"/>
      <c r="W6" s="45"/>
    </row>
    <row r="7" ht="15.75" customHeight="1" spans="1:23">
      <c r="A7" s="38"/>
      <c r="B7" s="38"/>
      <c r="C7" s="34" t="s">
        <v>45</v>
      </c>
      <c r="D7" s="34"/>
      <c r="E7" s="40"/>
      <c r="F7" s="40"/>
      <c r="G7" s="40"/>
      <c r="H7" s="40"/>
      <c r="I7" s="40">
        <v>1</v>
      </c>
      <c r="J7" s="35">
        <v>1</v>
      </c>
      <c r="L7" s="38"/>
      <c r="M7" s="32" t="s">
        <v>46</v>
      </c>
      <c r="N7" s="32" t="s">
        <v>47</v>
      </c>
      <c r="O7" s="32">
        <v>8</v>
      </c>
      <c r="P7" s="39">
        <v>1</v>
      </c>
      <c r="Q7" s="39">
        <v>0</v>
      </c>
      <c r="R7" s="39">
        <v>14700000</v>
      </c>
      <c r="S7" s="46">
        <v>14700000</v>
      </c>
      <c r="T7" s="45"/>
      <c r="U7" s="45"/>
      <c r="V7" s="45"/>
      <c r="W7" s="45"/>
    </row>
    <row r="8" ht="15.75" customHeight="1" spans="1:23">
      <c r="A8" s="38"/>
      <c r="B8" s="32" t="s">
        <v>48</v>
      </c>
      <c r="C8" s="32" t="s">
        <v>49</v>
      </c>
      <c r="D8" s="32"/>
      <c r="E8" s="39"/>
      <c r="F8" s="39"/>
      <c r="G8" s="39">
        <v>1</v>
      </c>
      <c r="H8" s="39"/>
      <c r="I8" s="39"/>
      <c r="J8" s="33">
        <v>1</v>
      </c>
      <c r="L8" s="38"/>
      <c r="M8" s="32" t="s">
        <v>50</v>
      </c>
      <c r="N8" s="32" t="s">
        <v>51</v>
      </c>
      <c r="O8" s="32">
        <v>8</v>
      </c>
      <c r="P8" s="39">
        <v>6</v>
      </c>
      <c r="Q8" s="39">
        <v>0</v>
      </c>
      <c r="R8" s="39">
        <v>13000000</v>
      </c>
      <c r="S8" s="46">
        <v>13800000</v>
      </c>
      <c r="T8" s="45"/>
      <c r="U8" s="45"/>
      <c r="V8" s="45"/>
      <c r="W8" s="45"/>
    </row>
    <row r="9" ht="15.75" customHeight="1" spans="1:23">
      <c r="A9" s="38"/>
      <c r="B9" s="38"/>
      <c r="C9" s="34" t="s">
        <v>52</v>
      </c>
      <c r="D9" s="34"/>
      <c r="E9" s="40"/>
      <c r="F9" s="40"/>
      <c r="G9" s="40"/>
      <c r="H9" s="40"/>
      <c r="I9" s="40">
        <v>1</v>
      </c>
      <c r="J9" s="35">
        <v>1</v>
      </c>
      <c r="L9" s="32" t="s">
        <v>53</v>
      </c>
      <c r="M9" s="32" t="s">
        <v>54</v>
      </c>
      <c r="N9" s="32" t="s">
        <v>49</v>
      </c>
      <c r="O9" s="32">
        <v>9</v>
      </c>
      <c r="P9" s="39">
        <v>4</v>
      </c>
      <c r="Q9" s="39">
        <v>20300000</v>
      </c>
      <c r="R9" s="39">
        <v>20300000</v>
      </c>
      <c r="S9" s="46">
        <v>22300000</v>
      </c>
      <c r="T9" s="45"/>
      <c r="U9" s="45"/>
      <c r="V9" s="45"/>
      <c r="W9" s="45"/>
    </row>
    <row r="10" ht="15.75" customHeight="1" spans="1:23">
      <c r="A10" s="38"/>
      <c r="B10" s="38"/>
      <c r="C10" s="34" t="s">
        <v>55</v>
      </c>
      <c r="D10" s="34"/>
      <c r="E10" s="40"/>
      <c r="F10" s="40"/>
      <c r="G10" s="40">
        <v>1</v>
      </c>
      <c r="H10" s="40"/>
      <c r="I10" s="40"/>
      <c r="J10" s="35">
        <v>1</v>
      </c>
      <c r="L10" s="38"/>
      <c r="M10" s="32" t="s">
        <v>56</v>
      </c>
      <c r="N10" s="32" t="s">
        <v>45</v>
      </c>
      <c r="O10" s="32">
        <v>6</v>
      </c>
      <c r="P10" s="39">
        <v>6</v>
      </c>
      <c r="Q10" s="39">
        <v>9325000</v>
      </c>
      <c r="R10" s="39">
        <v>9325000</v>
      </c>
      <c r="S10" s="46">
        <v>10300000</v>
      </c>
      <c r="T10" s="45"/>
      <c r="U10" s="45"/>
      <c r="V10" s="45"/>
      <c r="W10" s="45"/>
    </row>
    <row r="11" ht="15.75" customHeight="1" spans="1:23">
      <c r="A11" s="32" t="s">
        <v>57</v>
      </c>
      <c r="B11" s="32" t="s">
        <v>58</v>
      </c>
      <c r="C11" s="32" t="s">
        <v>59</v>
      </c>
      <c r="D11" s="32"/>
      <c r="E11" s="39"/>
      <c r="F11" s="39"/>
      <c r="G11" s="39"/>
      <c r="H11" s="39"/>
      <c r="I11" s="39">
        <v>1</v>
      </c>
      <c r="J11" s="33">
        <v>1</v>
      </c>
      <c r="L11" s="38"/>
      <c r="M11" s="32" t="s">
        <v>43</v>
      </c>
      <c r="N11" s="32" t="s">
        <v>60</v>
      </c>
      <c r="O11" s="32">
        <v>5</v>
      </c>
      <c r="P11" s="39">
        <v>7</v>
      </c>
      <c r="Q11" s="39">
        <v>12300000</v>
      </c>
      <c r="R11" s="39">
        <v>12300000</v>
      </c>
      <c r="S11" s="46">
        <v>19440000</v>
      </c>
      <c r="T11" s="45"/>
      <c r="U11" s="45"/>
      <c r="V11" s="45"/>
      <c r="W11" s="45"/>
    </row>
    <row r="12" ht="15.75" customHeight="1" spans="1:23">
      <c r="A12" s="38"/>
      <c r="B12" s="32" t="s">
        <v>32</v>
      </c>
      <c r="C12" s="32" t="s">
        <v>61</v>
      </c>
      <c r="D12" s="32"/>
      <c r="E12" s="39"/>
      <c r="F12" s="39"/>
      <c r="G12" s="39"/>
      <c r="H12" s="39">
        <v>1</v>
      </c>
      <c r="I12" s="39"/>
      <c r="J12" s="33">
        <v>1</v>
      </c>
      <c r="L12" s="38"/>
      <c r="M12" s="38"/>
      <c r="N12" s="34" t="s">
        <v>62</v>
      </c>
      <c r="O12" s="34">
        <v>8</v>
      </c>
      <c r="P12" s="40">
        <v>2</v>
      </c>
      <c r="Q12" s="40">
        <v>12775000</v>
      </c>
      <c r="R12" s="40">
        <v>13700000</v>
      </c>
      <c r="S12" s="47">
        <v>15300000</v>
      </c>
      <c r="T12" s="45"/>
      <c r="U12" s="45"/>
      <c r="V12" s="45"/>
      <c r="W12" s="45"/>
    </row>
    <row r="13" ht="15.75" customHeight="1" spans="1:23">
      <c r="A13" s="38"/>
      <c r="B13" s="32" t="s">
        <v>63</v>
      </c>
      <c r="C13" s="32" t="s">
        <v>64</v>
      </c>
      <c r="D13" s="32"/>
      <c r="E13" s="39"/>
      <c r="F13" s="39"/>
      <c r="G13" s="39"/>
      <c r="H13" s="39">
        <v>1</v>
      </c>
      <c r="I13" s="39"/>
      <c r="J13" s="33">
        <v>1</v>
      </c>
      <c r="L13" s="38"/>
      <c r="M13" s="38"/>
      <c r="N13" s="34" t="s">
        <v>65</v>
      </c>
      <c r="O13" s="34">
        <v>7</v>
      </c>
      <c r="P13" s="40">
        <v>1</v>
      </c>
      <c r="Q13" s="40">
        <v>14500000</v>
      </c>
      <c r="R13" s="40">
        <v>14500000</v>
      </c>
      <c r="S13" s="47">
        <v>14500000</v>
      </c>
      <c r="T13" s="45"/>
      <c r="U13" s="45"/>
      <c r="V13" s="45"/>
      <c r="W13" s="45"/>
    </row>
    <row r="14" ht="15.75" customHeight="1" spans="1:23">
      <c r="A14" s="32" t="s">
        <v>66</v>
      </c>
      <c r="B14" s="32" t="s">
        <v>58</v>
      </c>
      <c r="C14" s="32" t="s">
        <v>67</v>
      </c>
      <c r="D14" s="32"/>
      <c r="E14" s="39"/>
      <c r="F14" s="39"/>
      <c r="G14" s="39"/>
      <c r="H14" s="39"/>
      <c r="I14" s="39">
        <v>1</v>
      </c>
      <c r="J14" s="33">
        <v>1</v>
      </c>
      <c r="L14" s="38"/>
      <c r="M14" s="32" t="s">
        <v>68</v>
      </c>
      <c r="N14" s="32" t="s">
        <v>69</v>
      </c>
      <c r="O14" s="32">
        <v>8</v>
      </c>
      <c r="P14" s="39">
        <v>2</v>
      </c>
      <c r="Q14" s="39">
        <v>11700000</v>
      </c>
      <c r="R14" s="39">
        <v>11700000</v>
      </c>
      <c r="S14" s="46">
        <v>12750000</v>
      </c>
      <c r="T14" s="45"/>
      <c r="U14" s="45"/>
      <c r="V14" s="45"/>
      <c r="W14" s="45"/>
    </row>
    <row r="15" ht="15.75" customHeight="1" spans="1:23">
      <c r="A15" s="38"/>
      <c r="B15" s="38"/>
      <c r="C15" s="34" t="s">
        <v>70</v>
      </c>
      <c r="D15" s="34"/>
      <c r="E15" s="40"/>
      <c r="F15" s="40"/>
      <c r="G15" s="40"/>
      <c r="H15" s="40"/>
      <c r="I15" s="40">
        <v>1</v>
      </c>
      <c r="J15" s="35">
        <v>1</v>
      </c>
      <c r="L15" s="38"/>
      <c r="M15" s="38"/>
      <c r="N15" s="34" t="s">
        <v>71</v>
      </c>
      <c r="O15" s="34">
        <v>8</v>
      </c>
      <c r="P15" s="40">
        <v>3</v>
      </c>
      <c r="Q15" s="40">
        <v>12200000</v>
      </c>
      <c r="R15" s="40">
        <v>12200000</v>
      </c>
      <c r="S15" s="47">
        <v>13325000</v>
      </c>
      <c r="T15" s="45"/>
      <c r="U15" s="45"/>
      <c r="V15" s="45"/>
      <c r="W15" s="45"/>
    </row>
    <row r="16" ht="15.75" customHeight="1" spans="1:23">
      <c r="A16" s="38"/>
      <c r="B16" s="38"/>
      <c r="C16" s="34" t="s">
        <v>72</v>
      </c>
      <c r="D16" s="34"/>
      <c r="E16" s="40"/>
      <c r="F16" s="40"/>
      <c r="G16" s="40"/>
      <c r="H16" s="40"/>
      <c r="I16" s="40">
        <v>1</v>
      </c>
      <c r="J16" s="35">
        <v>1</v>
      </c>
      <c r="L16" s="38"/>
      <c r="M16" s="32" t="s">
        <v>73</v>
      </c>
      <c r="N16" s="32" t="s">
        <v>74</v>
      </c>
      <c r="O16" s="32">
        <v>5</v>
      </c>
      <c r="P16" s="39">
        <v>6</v>
      </c>
      <c r="Q16" s="39">
        <v>12600000</v>
      </c>
      <c r="R16" s="39">
        <v>12600000</v>
      </c>
      <c r="S16" s="46">
        <v>15000000</v>
      </c>
      <c r="T16" s="45"/>
      <c r="U16" s="45"/>
      <c r="V16" s="45"/>
      <c r="W16" s="45"/>
    </row>
    <row r="17" ht="15.75" customHeight="1" spans="1:23">
      <c r="A17" s="38"/>
      <c r="B17" s="32" t="s">
        <v>48</v>
      </c>
      <c r="C17" s="32" t="s">
        <v>60</v>
      </c>
      <c r="D17" s="32"/>
      <c r="E17" s="39"/>
      <c r="F17" s="39"/>
      <c r="G17" s="39">
        <v>1</v>
      </c>
      <c r="H17" s="39"/>
      <c r="I17" s="39"/>
      <c r="J17" s="33">
        <v>1</v>
      </c>
      <c r="L17" s="38"/>
      <c r="M17" s="32" t="s">
        <v>46</v>
      </c>
      <c r="N17" s="32" t="s">
        <v>33</v>
      </c>
      <c r="O17" s="32">
        <v>8</v>
      </c>
      <c r="P17" s="39">
        <v>1</v>
      </c>
      <c r="Q17" s="39">
        <v>14200000</v>
      </c>
      <c r="R17" s="39">
        <v>14200000</v>
      </c>
      <c r="S17" s="46">
        <v>14200000</v>
      </c>
      <c r="T17" s="45"/>
      <c r="U17" s="45"/>
      <c r="V17" s="45"/>
      <c r="W17" s="45"/>
    </row>
    <row r="18" ht="15.75" customHeight="1" spans="1:23">
      <c r="A18" s="38"/>
      <c r="B18" s="38"/>
      <c r="C18" s="34" t="s">
        <v>62</v>
      </c>
      <c r="D18" s="34"/>
      <c r="E18" s="40"/>
      <c r="F18" s="40"/>
      <c r="G18" s="40"/>
      <c r="H18" s="40"/>
      <c r="I18" s="40">
        <v>1</v>
      </c>
      <c r="J18" s="35">
        <v>1</v>
      </c>
      <c r="L18" s="38"/>
      <c r="M18" s="32" t="s">
        <v>50</v>
      </c>
      <c r="N18" s="32" t="s">
        <v>75</v>
      </c>
      <c r="O18" s="32">
        <v>5</v>
      </c>
      <c r="P18" s="39">
        <v>1</v>
      </c>
      <c r="Q18" s="39">
        <v>13000000</v>
      </c>
      <c r="R18" s="39">
        <v>13000000</v>
      </c>
      <c r="S18" s="46">
        <v>13000000</v>
      </c>
      <c r="T18" s="45"/>
      <c r="U18" s="45"/>
      <c r="V18" s="45"/>
      <c r="W18" s="45"/>
    </row>
    <row r="19" ht="15.75" customHeight="1" spans="1:23">
      <c r="A19" s="38"/>
      <c r="B19" s="38"/>
      <c r="C19" s="34" t="s">
        <v>69</v>
      </c>
      <c r="D19" s="34"/>
      <c r="E19" s="40"/>
      <c r="F19" s="40"/>
      <c r="G19" s="40">
        <v>1</v>
      </c>
      <c r="H19" s="40"/>
      <c r="I19" s="40"/>
      <c r="J19" s="35">
        <v>1</v>
      </c>
      <c r="L19" s="38"/>
      <c r="M19" s="32" t="s">
        <v>76</v>
      </c>
      <c r="N19" s="32" t="s">
        <v>77</v>
      </c>
      <c r="O19" s="32">
        <v>8</v>
      </c>
      <c r="P19" s="39">
        <v>10</v>
      </c>
      <c r="Q19" s="39">
        <v>16400000</v>
      </c>
      <c r="R19" s="39">
        <v>16400000</v>
      </c>
      <c r="S19" s="46">
        <v>26500000</v>
      </c>
      <c r="T19" s="45"/>
      <c r="U19" s="45"/>
      <c r="V19" s="45"/>
      <c r="W19" s="45"/>
    </row>
    <row r="20" ht="15.75" customHeight="1" spans="1:23">
      <c r="A20" s="38"/>
      <c r="B20" s="38"/>
      <c r="C20" s="34" t="s">
        <v>71</v>
      </c>
      <c r="D20" s="34"/>
      <c r="E20" s="40"/>
      <c r="F20" s="40"/>
      <c r="G20" s="40">
        <v>1</v>
      </c>
      <c r="H20" s="40"/>
      <c r="I20" s="40"/>
      <c r="J20" s="35">
        <v>1</v>
      </c>
      <c r="L20" s="38"/>
      <c r="M20" s="32" t="s">
        <v>78</v>
      </c>
      <c r="N20" s="32" t="s">
        <v>79</v>
      </c>
      <c r="O20" s="32">
        <v>6</v>
      </c>
      <c r="P20" s="39">
        <v>2</v>
      </c>
      <c r="Q20" s="39">
        <v>13800000</v>
      </c>
      <c r="R20" s="39">
        <v>13800000</v>
      </c>
      <c r="S20" s="46">
        <v>14000000</v>
      </c>
      <c r="T20" s="45"/>
      <c r="U20" s="45"/>
      <c r="V20" s="45"/>
      <c r="W20" s="45"/>
    </row>
    <row r="21" ht="15.75" customHeight="1" spans="1:23">
      <c r="A21" s="38"/>
      <c r="B21" s="38"/>
      <c r="C21" s="34" t="s">
        <v>65</v>
      </c>
      <c r="D21" s="34"/>
      <c r="E21" s="40"/>
      <c r="F21" s="40"/>
      <c r="G21" s="40">
        <v>1</v>
      </c>
      <c r="H21" s="40"/>
      <c r="I21" s="40"/>
      <c r="J21" s="35">
        <v>1</v>
      </c>
      <c r="L21" s="38"/>
      <c r="M21" s="38"/>
      <c r="N21" s="34" t="s">
        <v>80</v>
      </c>
      <c r="O21" s="34">
        <v>8</v>
      </c>
      <c r="P21" s="40">
        <v>2</v>
      </c>
      <c r="Q21" s="40">
        <v>13500000</v>
      </c>
      <c r="R21" s="40">
        <v>13500000</v>
      </c>
      <c r="S21" s="47">
        <v>14800000</v>
      </c>
      <c r="T21" s="45"/>
      <c r="U21" s="45"/>
      <c r="V21" s="45"/>
      <c r="W21" s="45"/>
    </row>
    <row r="22" ht="15.75" customHeight="1" spans="1:23">
      <c r="A22" s="38"/>
      <c r="B22" s="38"/>
      <c r="C22" s="34" t="s">
        <v>81</v>
      </c>
      <c r="D22" s="34"/>
      <c r="E22" s="40"/>
      <c r="F22" s="40"/>
      <c r="G22" s="40"/>
      <c r="H22" s="40"/>
      <c r="I22" s="40">
        <v>1</v>
      </c>
      <c r="J22" s="35">
        <v>1</v>
      </c>
      <c r="L22" s="38"/>
      <c r="M22" s="38"/>
      <c r="N22" s="34" t="s">
        <v>82</v>
      </c>
      <c r="O22" s="34">
        <v>8</v>
      </c>
      <c r="P22" s="40">
        <v>8</v>
      </c>
      <c r="Q22" s="40">
        <v>13500000</v>
      </c>
      <c r="R22" s="40">
        <v>13500000</v>
      </c>
      <c r="S22" s="47">
        <v>15100000</v>
      </c>
      <c r="T22" s="45"/>
      <c r="U22" s="45"/>
      <c r="V22" s="45"/>
      <c r="W22" s="45"/>
    </row>
    <row r="23" ht="15.75" customHeight="1" spans="1:23">
      <c r="A23" s="38"/>
      <c r="B23" s="38"/>
      <c r="C23" s="34" t="s">
        <v>83</v>
      </c>
      <c r="D23" s="34"/>
      <c r="E23" s="40"/>
      <c r="F23" s="40"/>
      <c r="G23" s="40">
        <v>1</v>
      </c>
      <c r="H23" s="40"/>
      <c r="I23" s="40"/>
      <c r="J23" s="35">
        <v>1</v>
      </c>
      <c r="L23" s="38"/>
      <c r="M23" s="32" t="s">
        <v>84</v>
      </c>
      <c r="N23" s="32" t="s">
        <v>85</v>
      </c>
      <c r="O23" s="32">
        <v>5</v>
      </c>
      <c r="P23" s="39">
        <v>1</v>
      </c>
      <c r="Q23" s="39">
        <v>12600000</v>
      </c>
      <c r="R23" s="39">
        <v>12600000</v>
      </c>
      <c r="S23" s="46">
        <v>12600000</v>
      </c>
      <c r="T23" s="45"/>
      <c r="U23" s="45"/>
      <c r="V23" s="45"/>
      <c r="W23" s="45"/>
    </row>
    <row r="24" ht="15.75" customHeight="1" spans="1:23">
      <c r="A24" s="38"/>
      <c r="B24" s="38"/>
      <c r="C24" s="34" t="s">
        <v>86</v>
      </c>
      <c r="D24" s="34"/>
      <c r="E24" s="40"/>
      <c r="F24" s="40"/>
      <c r="G24" s="40">
        <v>1</v>
      </c>
      <c r="H24" s="40"/>
      <c r="I24" s="40"/>
      <c r="J24" s="35">
        <v>1</v>
      </c>
      <c r="L24" s="38"/>
      <c r="M24" s="32" t="s">
        <v>87</v>
      </c>
      <c r="N24" s="32" t="s">
        <v>88</v>
      </c>
      <c r="O24" s="32">
        <v>6</v>
      </c>
      <c r="P24" s="39">
        <v>7</v>
      </c>
      <c r="Q24" s="39">
        <v>13700000</v>
      </c>
      <c r="R24" s="39">
        <v>13700000</v>
      </c>
      <c r="S24" s="46">
        <v>16700000</v>
      </c>
      <c r="T24" s="45"/>
      <c r="U24" s="45"/>
      <c r="V24" s="45"/>
      <c r="W24" s="45"/>
    </row>
    <row r="25" ht="15.75" customHeight="1" spans="1:23">
      <c r="A25" s="38"/>
      <c r="B25" s="38"/>
      <c r="C25" s="34" t="s">
        <v>89</v>
      </c>
      <c r="D25" s="34"/>
      <c r="E25" s="40"/>
      <c r="F25" s="40"/>
      <c r="G25" s="40"/>
      <c r="H25" s="40"/>
      <c r="I25" s="40">
        <v>1</v>
      </c>
      <c r="J25" s="35">
        <v>1</v>
      </c>
      <c r="L25" s="38"/>
      <c r="M25" s="38"/>
      <c r="N25" s="34" t="s">
        <v>90</v>
      </c>
      <c r="O25" s="34">
        <v>6</v>
      </c>
      <c r="P25" s="40">
        <v>6</v>
      </c>
      <c r="Q25" s="40">
        <v>8900000</v>
      </c>
      <c r="R25" s="40">
        <v>8900000</v>
      </c>
      <c r="S25" s="47">
        <v>9325000</v>
      </c>
      <c r="T25" s="45"/>
      <c r="U25" s="45"/>
      <c r="V25" s="45"/>
      <c r="W25" s="45"/>
    </row>
    <row r="26" ht="15.75" customHeight="1" spans="1:23">
      <c r="A26" s="38"/>
      <c r="B26" s="38"/>
      <c r="C26" s="34" t="s">
        <v>91</v>
      </c>
      <c r="D26" s="34"/>
      <c r="E26" s="40"/>
      <c r="F26" s="40"/>
      <c r="G26" s="40"/>
      <c r="H26" s="40"/>
      <c r="I26" s="40">
        <v>2</v>
      </c>
      <c r="J26" s="35">
        <v>2</v>
      </c>
      <c r="L26" s="38"/>
      <c r="M26" s="38"/>
      <c r="N26" s="34" t="s">
        <v>92</v>
      </c>
      <c r="O26" s="34">
        <v>8</v>
      </c>
      <c r="P26" s="40">
        <v>7</v>
      </c>
      <c r="Q26" s="40">
        <v>9250000</v>
      </c>
      <c r="R26" s="40">
        <v>9250000</v>
      </c>
      <c r="S26" s="47">
        <v>9900000</v>
      </c>
      <c r="T26" s="45"/>
      <c r="U26" s="45"/>
      <c r="V26" s="45"/>
      <c r="W26" s="45"/>
    </row>
    <row r="27" ht="15.75" customHeight="1" spans="1:23">
      <c r="A27" s="38"/>
      <c r="B27" s="38"/>
      <c r="C27" s="34" t="s">
        <v>93</v>
      </c>
      <c r="D27" s="34"/>
      <c r="E27" s="40"/>
      <c r="F27" s="40"/>
      <c r="G27" s="40"/>
      <c r="H27" s="40"/>
      <c r="I27" s="40">
        <v>1</v>
      </c>
      <c r="J27" s="35">
        <v>1</v>
      </c>
      <c r="L27" s="38"/>
      <c r="M27" s="38"/>
      <c r="N27" s="34" t="s">
        <v>94</v>
      </c>
      <c r="O27" s="34">
        <v>8</v>
      </c>
      <c r="P27" s="40">
        <v>5</v>
      </c>
      <c r="Q27" s="40">
        <v>10400000</v>
      </c>
      <c r="R27" s="40">
        <v>10400000</v>
      </c>
      <c r="S27" s="47">
        <v>10950000</v>
      </c>
      <c r="T27" s="45"/>
      <c r="U27" s="45"/>
      <c r="V27" s="45"/>
      <c r="W27" s="45"/>
    </row>
    <row r="28" ht="15.75" customHeight="1" spans="1:23">
      <c r="A28" s="38"/>
      <c r="B28" s="38"/>
      <c r="C28" s="34" t="s">
        <v>95</v>
      </c>
      <c r="D28" s="34"/>
      <c r="E28" s="40"/>
      <c r="F28" s="40"/>
      <c r="G28" s="40"/>
      <c r="H28" s="40"/>
      <c r="I28" s="40">
        <v>1</v>
      </c>
      <c r="J28" s="35">
        <v>1</v>
      </c>
      <c r="L28" s="38"/>
      <c r="M28" s="32" t="s">
        <v>96</v>
      </c>
      <c r="N28" s="32" t="s">
        <v>97</v>
      </c>
      <c r="O28" s="32">
        <v>6</v>
      </c>
      <c r="P28" s="39">
        <v>1</v>
      </c>
      <c r="Q28" s="39">
        <v>17000000</v>
      </c>
      <c r="R28" s="39">
        <v>17000000</v>
      </c>
      <c r="S28" s="46">
        <v>17000000</v>
      </c>
      <c r="T28" s="45"/>
      <c r="U28" s="45"/>
      <c r="V28" s="45"/>
      <c r="W28" s="45"/>
    </row>
    <row r="29" ht="15.75" customHeight="1" spans="1:23">
      <c r="A29" s="38"/>
      <c r="B29" s="38"/>
      <c r="C29" s="34" t="s">
        <v>98</v>
      </c>
      <c r="D29" s="34"/>
      <c r="E29" s="40"/>
      <c r="F29" s="40"/>
      <c r="G29" s="40"/>
      <c r="H29" s="40"/>
      <c r="I29" s="40">
        <v>1</v>
      </c>
      <c r="J29" s="35">
        <v>1</v>
      </c>
      <c r="L29" s="38"/>
      <c r="M29" s="38"/>
      <c r="N29" s="34" t="s">
        <v>99</v>
      </c>
      <c r="O29" s="34">
        <v>6</v>
      </c>
      <c r="P29" s="40">
        <v>1</v>
      </c>
      <c r="Q29" s="40">
        <v>28500000</v>
      </c>
      <c r="R29" s="40">
        <v>28500000</v>
      </c>
      <c r="S29" s="47">
        <v>28500000</v>
      </c>
      <c r="T29" s="45"/>
      <c r="U29" s="45"/>
      <c r="V29" s="45"/>
      <c r="W29" s="45"/>
    </row>
    <row r="30" ht="15.75" customHeight="1" spans="1:23">
      <c r="A30" s="32" t="s">
        <v>100</v>
      </c>
      <c r="B30" s="32" t="s">
        <v>32</v>
      </c>
      <c r="C30" s="32" t="s">
        <v>74</v>
      </c>
      <c r="D30" s="32"/>
      <c r="E30" s="39"/>
      <c r="F30" s="39"/>
      <c r="G30" s="39">
        <v>1</v>
      </c>
      <c r="H30" s="39"/>
      <c r="I30" s="39"/>
      <c r="J30" s="33">
        <v>1</v>
      </c>
      <c r="L30" s="38"/>
      <c r="M30" s="32" t="s">
        <v>101</v>
      </c>
      <c r="N30" s="32" t="s">
        <v>102</v>
      </c>
      <c r="O30" s="32">
        <v>7</v>
      </c>
      <c r="P30" s="39">
        <v>4</v>
      </c>
      <c r="Q30" s="39">
        <v>15600000</v>
      </c>
      <c r="R30" s="39">
        <v>15600000</v>
      </c>
      <c r="S30" s="46">
        <v>18400000</v>
      </c>
      <c r="T30" s="45"/>
      <c r="U30" s="45"/>
      <c r="V30" s="45"/>
      <c r="W30" s="45"/>
    </row>
    <row r="31" ht="15.75" customHeight="1" spans="1:23">
      <c r="A31" s="32" t="s">
        <v>103</v>
      </c>
      <c r="B31" s="32" t="s">
        <v>58</v>
      </c>
      <c r="C31" s="32" t="s">
        <v>104</v>
      </c>
      <c r="D31" s="32"/>
      <c r="E31" s="39"/>
      <c r="F31" s="39">
        <v>1</v>
      </c>
      <c r="G31" s="39"/>
      <c r="H31" s="39"/>
      <c r="I31" s="39"/>
      <c r="J31" s="33">
        <v>1</v>
      </c>
      <c r="L31" s="38"/>
      <c r="M31" s="38"/>
      <c r="N31" s="34" t="s">
        <v>105</v>
      </c>
      <c r="O31" s="34">
        <v>8</v>
      </c>
      <c r="P31" s="40">
        <v>6</v>
      </c>
      <c r="Q31" s="40">
        <v>15330000</v>
      </c>
      <c r="R31" s="40">
        <v>15330000</v>
      </c>
      <c r="S31" s="47">
        <v>18500000</v>
      </c>
      <c r="T31" s="45"/>
      <c r="U31" s="45"/>
      <c r="V31" s="45"/>
      <c r="W31" s="45"/>
    </row>
    <row r="32" ht="15.75" customHeight="1" spans="1:23">
      <c r="A32" s="38"/>
      <c r="B32" s="32" t="s">
        <v>32</v>
      </c>
      <c r="C32" s="32" t="s">
        <v>106</v>
      </c>
      <c r="D32" s="32"/>
      <c r="E32" s="39"/>
      <c r="F32" s="39"/>
      <c r="G32" s="39">
        <v>1</v>
      </c>
      <c r="H32" s="39"/>
      <c r="I32" s="39"/>
      <c r="J32" s="33">
        <v>1</v>
      </c>
      <c r="L32" s="38"/>
      <c r="M32" s="32" t="s">
        <v>107</v>
      </c>
      <c r="N32" s="32" t="s">
        <v>41</v>
      </c>
      <c r="O32" s="32">
        <v>7</v>
      </c>
      <c r="P32" s="39">
        <v>7</v>
      </c>
      <c r="Q32" s="39">
        <v>12575000</v>
      </c>
      <c r="R32" s="39">
        <v>12575000</v>
      </c>
      <c r="S32" s="46">
        <v>13600000</v>
      </c>
      <c r="T32" s="45"/>
      <c r="U32" s="45"/>
      <c r="V32" s="45"/>
      <c r="W32" s="45"/>
    </row>
    <row r="33" ht="15.75" customHeight="1" spans="1:23">
      <c r="A33" s="38"/>
      <c r="B33" s="32" t="s">
        <v>48</v>
      </c>
      <c r="C33" s="32" t="s">
        <v>75</v>
      </c>
      <c r="D33" s="32"/>
      <c r="E33" s="39"/>
      <c r="F33" s="39"/>
      <c r="G33" s="39">
        <v>1</v>
      </c>
      <c r="H33" s="39"/>
      <c r="I33" s="39"/>
      <c r="J33" s="33">
        <v>1</v>
      </c>
      <c r="L33" s="38"/>
      <c r="M33" s="32" t="s">
        <v>108</v>
      </c>
      <c r="N33" s="32" t="s">
        <v>109</v>
      </c>
      <c r="O33" s="32">
        <v>7</v>
      </c>
      <c r="P33" s="39">
        <v>8</v>
      </c>
      <c r="Q33" s="39">
        <v>12000000</v>
      </c>
      <c r="R33" s="39">
        <v>12000000</v>
      </c>
      <c r="S33" s="46">
        <v>14375000</v>
      </c>
      <c r="T33" s="45"/>
      <c r="U33" s="45"/>
      <c r="V33" s="45"/>
      <c r="W33" s="45"/>
    </row>
    <row r="34" ht="15.75" customHeight="1" spans="1:23">
      <c r="A34" s="32" t="s">
        <v>110</v>
      </c>
      <c r="B34" s="32" t="s">
        <v>48</v>
      </c>
      <c r="C34" s="32" t="s">
        <v>77</v>
      </c>
      <c r="D34" s="32"/>
      <c r="E34" s="39"/>
      <c r="F34" s="39"/>
      <c r="G34" s="39">
        <v>1</v>
      </c>
      <c r="H34" s="39"/>
      <c r="I34" s="39"/>
      <c r="J34" s="33">
        <v>1</v>
      </c>
      <c r="L34" s="38"/>
      <c r="M34" s="38"/>
      <c r="N34" s="34" t="s">
        <v>111</v>
      </c>
      <c r="O34" s="34">
        <v>10</v>
      </c>
      <c r="P34" s="40">
        <v>4</v>
      </c>
      <c r="Q34" s="40">
        <v>13200000</v>
      </c>
      <c r="R34" s="40">
        <v>13200000</v>
      </c>
      <c r="S34" s="47">
        <v>14200000</v>
      </c>
      <c r="T34" s="45"/>
      <c r="U34" s="45"/>
      <c r="V34" s="45"/>
      <c r="W34" s="45"/>
    </row>
    <row r="35" ht="15.75" customHeight="1" spans="1:23">
      <c r="A35" s="32" t="s">
        <v>112</v>
      </c>
      <c r="B35" s="32" t="s">
        <v>113</v>
      </c>
      <c r="C35" s="32" t="s">
        <v>114</v>
      </c>
      <c r="D35" s="32"/>
      <c r="E35" s="39"/>
      <c r="F35" s="39"/>
      <c r="G35" s="39">
        <v>1</v>
      </c>
      <c r="H35" s="39"/>
      <c r="I35" s="39"/>
      <c r="J35" s="33">
        <v>1</v>
      </c>
      <c r="L35" s="38"/>
      <c r="M35" s="32" t="s">
        <v>115</v>
      </c>
      <c r="N35" s="32" t="s">
        <v>116</v>
      </c>
      <c r="O35" s="32">
        <v>5</v>
      </c>
      <c r="P35" s="39">
        <v>4</v>
      </c>
      <c r="Q35" s="39">
        <v>11500000</v>
      </c>
      <c r="R35" s="39">
        <v>11500000</v>
      </c>
      <c r="S35" s="46">
        <v>12125000</v>
      </c>
      <c r="T35" s="45"/>
      <c r="U35" s="45"/>
      <c r="V35" s="45"/>
      <c r="W35" s="45"/>
    </row>
    <row r="36" ht="15.75" customHeight="1" spans="1:23">
      <c r="A36" s="38"/>
      <c r="B36" s="32" t="s">
        <v>48</v>
      </c>
      <c r="C36" s="32" t="s">
        <v>79</v>
      </c>
      <c r="D36" s="32"/>
      <c r="E36" s="39">
        <v>1</v>
      </c>
      <c r="F36" s="39"/>
      <c r="G36" s="39"/>
      <c r="H36" s="39"/>
      <c r="I36" s="39"/>
      <c r="J36" s="33">
        <v>1</v>
      </c>
      <c r="L36" s="32" t="s">
        <v>117</v>
      </c>
      <c r="M36" s="32" t="s">
        <v>96</v>
      </c>
      <c r="N36" s="32" t="s">
        <v>118</v>
      </c>
      <c r="O36" s="32">
        <v>7</v>
      </c>
      <c r="P36" s="39">
        <v>3</v>
      </c>
      <c r="Q36" s="39">
        <v>16375000</v>
      </c>
      <c r="R36" s="39">
        <v>15600000</v>
      </c>
      <c r="S36" s="46">
        <v>18500000</v>
      </c>
      <c r="T36" s="45"/>
      <c r="U36" s="45"/>
      <c r="V36" s="45"/>
      <c r="W36" s="45"/>
    </row>
    <row r="37" ht="15.75" customHeight="1" spans="1:23">
      <c r="A37" s="38"/>
      <c r="B37" s="38"/>
      <c r="C37" s="34" t="s">
        <v>80</v>
      </c>
      <c r="D37" s="34"/>
      <c r="E37" s="40"/>
      <c r="F37" s="40"/>
      <c r="G37" s="40">
        <v>1</v>
      </c>
      <c r="H37" s="40"/>
      <c r="I37" s="40"/>
      <c r="J37" s="35">
        <v>1</v>
      </c>
      <c r="L37" s="38"/>
      <c r="M37" s="32" t="s">
        <v>119</v>
      </c>
      <c r="N37" s="32" t="s">
        <v>120</v>
      </c>
      <c r="O37" s="32">
        <v>6</v>
      </c>
      <c r="P37" s="39">
        <v>3</v>
      </c>
      <c r="Q37" s="39">
        <v>21000000</v>
      </c>
      <c r="R37" s="39">
        <v>17500000</v>
      </c>
      <c r="S37" s="46">
        <v>21000000</v>
      </c>
      <c r="T37" s="45"/>
      <c r="U37" s="45"/>
      <c r="V37" s="45"/>
      <c r="W37" s="45"/>
    </row>
    <row r="38" ht="15.75" customHeight="1" spans="1:19">
      <c r="A38" s="38"/>
      <c r="B38" s="38"/>
      <c r="C38" s="34" t="s">
        <v>82</v>
      </c>
      <c r="D38" s="34"/>
      <c r="E38" s="40"/>
      <c r="F38" s="40"/>
      <c r="G38" s="40">
        <v>1</v>
      </c>
      <c r="H38" s="40"/>
      <c r="I38" s="40"/>
      <c r="J38" s="35">
        <v>1</v>
      </c>
      <c r="L38" s="38"/>
      <c r="M38" s="32" t="s">
        <v>107</v>
      </c>
      <c r="N38" s="32" t="s">
        <v>52</v>
      </c>
      <c r="O38" s="32">
        <v>7</v>
      </c>
      <c r="P38" s="39">
        <v>7</v>
      </c>
      <c r="Q38" s="39">
        <v>12930000</v>
      </c>
      <c r="R38" s="39">
        <v>11600000</v>
      </c>
      <c r="S38" s="46">
        <v>15000000</v>
      </c>
    </row>
    <row r="39" ht="15.75" customHeight="1" spans="1:19">
      <c r="A39" s="38"/>
      <c r="B39" s="38"/>
      <c r="C39" s="34" t="s">
        <v>121</v>
      </c>
      <c r="D39" s="34"/>
      <c r="E39" s="40"/>
      <c r="F39" s="40"/>
      <c r="G39" s="40">
        <v>1</v>
      </c>
      <c r="H39" s="40"/>
      <c r="I39" s="40"/>
      <c r="J39" s="35">
        <v>1</v>
      </c>
      <c r="L39" s="42"/>
      <c r="M39" s="36" t="s">
        <v>122</v>
      </c>
      <c r="N39" s="36" t="s">
        <v>123</v>
      </c>
      <c r="O39" s="36">
        <v>6</v>
      </c>
      <c r="P39" s="43">
        <v>4</v>
      </c>
      <c r="Q39" s="43">
        <v>10800000</v>
      </c>
      <c r="R39" s="43">
        <v>10500000</v>
      </c>
      <c r="S39" s="48">
        <v>11975000</v>
      </c>
    </row>
    <row r="40" ht="15.75" customHeight="1" spans="1:15">
      <c r="A40" s="38"/>
      <c r="B40" s="38"/>
      <c r="C40" s="34" t="s">
        <v>124</v>
      </c>
      <c r="D40" s="34"/>
      <c r="E40" s="40"/>
      <c r="F40" s="40"/>
      <c r="G40" s="40"/>
      <c r="H40" s="40"/>
      <c r="I40" s="40">
        <v>1</v>
      </c>
      <c r="J40" s="35">
        <v>1</v>
      </c>
      <c r="M40" s="20"/>
      <c r="N40" s="44"/>
      <c r="O40" s="44"/>
    </row>
    <row r="41" ht="15.75" customHeight="1" spans="1:15">
      <c r="A41" s="38"/>
      <c r="B41" s="38"/>
      <c r="C41" s="34" t="s">
        <v>125</v>
      </c>
      <c r="D41" s="34"/>
      <c r="E41" s="40"/>
      <c r="F41" s="40"/>
      <c r="G41" s="40"/>
      <c r="H41" s="40">
        <v>1</v>
      </c>
      <c r="I41" s="40"/>
      <c r="J41" s="35">
        <v>1</v>
      </c>
      <c r="M41" s="20"/>
      <c r="N41" s="44"/>
      <c r="O41" s="44"/>
    </row>
    <row r="42" ht="15.75" customHeight="1" spans="1:15">
      <c r="A42" s="32" t="s">
        <v>126</v>
      </c>
      <c r="B42" s="32" t="s">
        <v>32</v>
      </c>
      <c r="C42" s="32" t="s">
        <v>85</v>
      </c>
      <c r="D42" s="32"/>
      <c r="E42" s="39"/>
      <c r="F42" s="39"/>
      <c r="G42" s="39">
        <v>1</v>
      </c>
      <c r="H42" s="39"/>
      <c r="I42" s="39"/>
      <c r="J42" s="33">
        <v>1</v>
      </c>
      <c r="M42" s="20"/>
      <c r="N42" s="44"/>
      <c r="O42" s="44"/>
    </row>
    <row r="43" ht="15.75" customHeight="1" spans="1:15">
      <c r="A43" s="32" t="s">
        <v>127</v>
      </c>
      <c r="B43" s="32" t="s">
        <v>58</v>
      </c>
      <c r="C43" s="32" t="s">
        <v>128</v>
      </c>
      <c r="D43" s="32"/>
      <c r="E43" s="39"/>
      <c r="F43" s="39"/>
      <c r="G43" s="39">
        <v>1</v>
      </c>
      <c r="H43" s="39"/>
      <c r="I43" s="39"/>
      <c r="J43" s="33">
        <v>1</v>
      </c>
      <c r="M43" s="20"/>
      <c r="N43" s="44"/>
      <c r="O43" s="44"/>
    </row>
    <row r="44" ht="15.75" customHeight="1" spans="1:15">
      <c r="A44" s="38"/>
      <c r="B44" s="32" t="s">
        <v>32</v>
      </c>
      <c r="C44" s="32" t="s">
        <v>88</v>
      </c>
      <c r="D44" s="32"/>
      <c r="E44" s="39">
        <v>1</v>
      </c>
      <c r="F44" s="39"/>
      <c r="G44" s="39"/>
      <c r="H44" s="39"/>
      <c r="I44" s="39"/>
      <c r="J44" s="33">
        <v>1</v>
      </c>
      <c r="M44" s="20"/>
      <c r="N44" s="44"/>
      <c r="O44" s="44"/>
    </row>
    <row r="45" ht="15.75" customHeight="1" spans="1:15">
      <c r="A45" s="38"/>
      <c r="B45" s="38"/>
      <c r="C45" s="34" t="s">
        <v>90</v>
      </c>
      <c r="D45" s="34"/>
      <c r="E45" s="40"/>
      <c r="F45" s="40"/>
      <c r="G45" s="40">
        <v>1</v>
      </c>
      <c r="H45" s="40"/>
      <c r="I45" s="40"/>
      <c r="J45" s="35">
        <v>1</v>
      </c>
      <c r="M45" s="20"/>
      <c r="N45" s="44"/>
      <c r="O45" s="44"/>
    </row>
    <row r="46" ht="15.75" customHeight="1" spans="1:15">
      <c r="A46" s="38"/>
      <c r="B46" s="32" t="s">
        <v>113</v>
      </c>
      <c r="C46" s="32" t="s">
        <v>129</v>
      </c>
      <c r="D46" s="32">
        <v>1</v>
      </c>
      <c r="E46" s="39"/>
      <c r="F46" s="39"/>
      <c r="G46" s="39"/>
      <c r="H46" s="39"/>
      <c r="I46" s="39"/>
      <c r="J46" s="33">
        <v>1</v>
      </c>
      <c r="M46" s="20"/>
      <c r="N46" s="44"/>
      <c r="O46" s="44"/>
    </row>
    <row r="47" ht="15.75" customHeight="1" spans="1:15">
      <c r="A47" s="38"/>
      <c r="B47" s="32" t="s">
        <v>48</v>
      </c>
      <c r="C47" s="32" t="s">
        <v>92</v>
      </c>
      <c r="D47" s="32"/>
      <c r="E47" s="39"/>
      <c r="F47" s="39"/>
      <c r="G47" s="39">
        <v>1</v>
      </c>
      <c r="H47" s="39"/>
      <c r="I47" s="39"/>
      <c r="J47" s="33">
        <v>1</v>
      </c>
      <c r="M47" s="20"/>
      <c r="N47" s="44"/>
      <c r="O47" s="44"/>
    </row>
    <row r="48" ht="15.75" customHeight="1" spans="1:15">
      <c r="A48" s="38"/>
      <c r="B48" s="38"/>
      <c r="C48" s="34" t="s">
        <v>94</v>
      </c>
      <c r="D48" s="34"/>
      <c r="E48" s="40"/>
      <c r="F48" s="40"/>
      <c r="G48" s="40">
        <v>1</v>
      </c>
      <c r="H48" s="40"/>
      <c r="I48" s="40"/>
      <c r="J48" s="35">
        <v>1</v>
      </c>
      <c r="M48" s="20"/>
      <c r="N48" s="44"/>
      <c r="O48" s="44"/>
    </row>
    <row r="49" ht="15.75" customHeight="1" spans="1:15">
      <c r="A49" s="38"/>
      <c r="B49" s="38"/>
      <c r="C49" s="34" t="s">
        <v>130</v>
      </c>
      <c r="D49" s="34"/>
      <c r="E49" s="40">
        <v>1</v>
      </c>
      <c r="F49" s="40"/>
      <c r="G49" s="40"/>
      <c r="H49" s="40"/>
      <c r="I49" s="40"/>
      <c r="J49" s="35">
        <v>1</v>
      </c>
      <c r="M49" s="20"/>
      <c r="N49" s="44"/>
      <c r="O49" s="44"/>
    </row>
    <row r="50" ht="15.75" customHeight="1" spans="1:15">
      <c r="A50" s="38"/>
      <c r="B50" s="38"/>
      <c r="C50" s="34" t="s">
        <v>131</v>
      </c>
      <c r="D50" s="34">
        <v>1</v>
      </c>
      <c r="E50" s="40"/>
      <c r="F50" s="40"/>
      <c r="G50" s="40"/>
      <c r="H50" s="40"/>
      <c r="I50" s="40"/>
      <c r="J50" s="35">
        <v>1</v>
      </c>
      <c r="M50" s="20"/>
      <c r="N50" s="44"/>
      <c r="O50" s="44"/>
    </row>
    <row r="51" ht="15.75" customHeight="1" spans="1:15">
      <c r="A51" s="32" t="s">
        <v>132</v>
      </c>
      <c r="B51" s="32" t="s">
        <v>58</v>
      </c>
      <c r="C51" s="32" t="s">
        <v>133</v>
      </c>
      <c r="D51" s="32"/>
      <c r="E51" s="39"/>
      <c r="F51" s="39"/>
      <c r="G51" s="39"/>
      <c r="H51" s="39"/>
      <c r="I51" s="39">
        <v>1</v>
      </c>
      <c r="J51" s="33">
        <v>1</v>
      </c>
      <c r="M51" s="20"/>
      <c r="N51" s="44"/>
      <c r="O51" s="44"/>
    </row>
    <row r="52" ht="15.75" customHeight="1" spans="1:15">
      <c r="A52" s="38"/>
      <c r="B52" s="38"/>
      <c r="C52" s="34" t="s">
        <v>134</v>
      </c>
      <c r="D52" s="34"/>
      <c r="E52" s="40"/>
      <c r="F52" s="40"/>
      <c r="G52" s="40">
        <v>1</v>
      </c>
      <c r="H52" s="40"/>
      <c r="I52" s="40"/>
      <c r="J52" s="35">
        <v>1</v>
      </c>
      <c r="M52" s="20"/>
      <c r="N52" s="44"/>
      <c r="O52" s="44"/>
    </row>
    <row r="53" ht="15.75" customHeight="1" spans="1:15">
      <c r="A53" s="38"/>
      <c r="B53" s="32" t="s">
        <v>32</v>
      </c>
      <c r="C53" s="32" t="s">
        <v>102</v>
      </c>
      <c r="D53" s="32"/>
      <c r="E53" s="39"/>
      <c r="F53" s="39"/>
      <c r="G53" s="39">
        <v>1</v>
      </c>
      <c r="H53" s="39"/>
      <c r="I53" s="39"/>
      <c r="J53" s="33">
        <v>1</v>
      </c>
      <c r="M53" s="20"/>
      <c r="N53" s="44"/>
      <c r="O53" s="44"/>
    </row>
    <row r="54" ht="15.75" customHeight="1" spans="1:15">
      <c r="A54" s="38"/>
      <c r="B54" s="32" t="s">
        <v>48</v>
      </c>
      <c r="C54" s="32" t="s">
        <v>123</v>
      </c>
      <c r="D54" s="32"/>
      <c r="E54" s="39"/>
      <c r="F54" s="39"/>
      <c r="G54" s="39">
        <v>1</v>
      </c>
      <c r="H54" s="39"/>
      <c r="I54" s="39"/>
      <c r="J54" s="33">
        <v>1</v>
      </c>
      <c r="M54" s="20"/>
      <c r="N54" s="44"/>
      <c r="O54" s="44"/>
    </row>
    <row r="55" ht="15.75" customHeight="1" spans="1:15">
      <c r="A55" s="38"/>
      <c r="B55" s="38"/>
      <c r="C55" s="34" t="s">
        <v>97</v>
      </c>
      <c r="D55" s="34"/>
      <c r="E55" s="40"/>
      <c r="F55" s="40"/>
      <c r="G55" s="40">
        <v>1</v>
      </c>
      <c r="H55" s="40"/>
      <c r="I55" s="40"/>
      <c r="J55" s="35">
        <v>1</v>
      </c>
      <c r="M55" s="20"/>
      <c r="N55" s="44"/>
      <c r="O55" s="44"/>
    </row>
    <row r="56" ht="15.75" customHeight="1" spans="1:15">
      <c r="A56" s="38"/>
      <c r="B56" s="38"/>
      <c r="C56" s="34" t="s">
        <v>99</v>
      </c>
      <c r="D56" s="34"/>
      <c r="E56" s="40"/>
      <c r="F56" s="40"/>
      <c r="G56" s="40">
        <v>1</v>
      </c>
      <c r="H56" s="40"/>
      <c r="I56" s="40"/>
      <c r="J56" s="35">
        <v>1</v>
      </c>
      <c r="M56" s="20"/>
      <c r="N56" s="44"/>
      <c r="O56" s="44"/>
    </row>
    <row r="57" ht="15.75" customHeight="1" spans="1:15">
      <c r="A57" s="38"/>
      <c r="B57" s="38"/>
      <c r="C57" s="34" t="s">
        <v>118</v>
      </c>
      <c r="D57" s="34"/>
      <c r="E57" s="40"/>
      <c r="F57" s="40"/>
      <c r="G57" s="40"/>
      <c r="H57" s="40"/>
      <c r="I57" s="40">
        <v>1</v>
      </c>
      <c r="J57" s="35">
        <v>1</v>
      </c>
      <c r="M57" s="20"/>
      <c r="N57" s="44"/>
      <c r="O57" s="44"/>
    </row>
    <row r="58" ht="15.75" customHeight="1" spans="1:15">
      <c r="A58" s="38"/>
      <c r="B58" s="38"/>
      <c r="C58" s="34" t="s">
        <v>105</v>
      </c>
      <c r="D58" s="34"/>
      <c r="E58" s="40"/>
      <c r="F58" s="40"/>
      <c r="G58" s="40"/>
      <c r="H58" s="40"/>
      <c r="I58" s="40">
        <v>1</v>
      </c>
      <c r="J58" s="35">
        <v>1</v>
      </c>
      <c r="M58" s="20"/>
      <c r="N58" s="44"/>
      <c r="O58" s="44"/>
    </row>
    <row r="59" ht="15.75" customHeight="1" spans="1:15">
      <c r="A59" s="38"/>
      <c r="B59" s="38"/>
      <c r="C59" s="34" t="s">
        <v>135</v>
      </c>
      <c r="D59" s="34"/>
      <c r="E59" s="40"/>
      <c r="F59" s="40"/>
      <c r="G59" s="40">
        <v>1</v>
      </c>
      <c r="H59" s="40"/>
      <c r="I59" s="40"/>
      <c r="J59" s="35">
        <v>1</v>
      </c>
      <c r="M59" s="20"/>
      <c r="N59" s="44"/>
      <c r="O59" s="44"/>
    </row>
    <row r="60" ht="15.75" customHeight="1" spans="1:15">
      <c r="A60" s="32" t="s">
        <v>136</v>
      </c>
      <c r="B60" s="32" t="s">
        <v>32</v>
      </c>
      <c r="C60" s="32" t="s">
        <v>120</v>
      </c>
      <c r="D60" s="32"/>
      <c r="E60" s="39"/>
      <c r="F60" s="39"/>
      <c r="G60" s="39">
        <v>1</v>
      </c>
      <c r="H60" s="39"/>
      <c r="I60" s="39"/>
      <c r="J60" s="33">
        <v>1</v>
      </c>
      <c r="M60" s="20"/>
      <c r="N60" s="44"/>
      <c r="O60" s="44"/>
    </row>
    <row r="61" ht="15.75" customHeight="1" spans="1:15">
      <c r="A61" s="32" t="s">
        <v>137</v>
      </c>
      <c r="B61" s="32" t="s">
        <v>48</v>
      </c>
      <c r="C61" s="32" t="s">
        <v>138</v>
      </c>
      <c r="D61" s="32"/>
      <c r="E61" s="39"/>
      <c r="F61" s="39"/>
      <c r="G61" s="39">
        <v>1</v>
      </c>
      <c r="H61" s="39"/>
      <c r="I61" s="39"/>
      <c r="J61" s="33">
        <v>1</v>
      </c>
      <c r="M61" s="20"/>
      <c r="N61" s="44"/>
      <c r="O61" s="44"/>
    </row>
    <row r="62" ht="15.75" customHeight="1" spans="1:15">
      <c r="A62" s="32" t="s">
        <v>139</v>
      </c>
      <c r="B62" s="32" t="s">
        <v>48</v>
      </c>
      <c r="C62" s="32" t="s">
        <v>109</v>
      </c>
      <c r="D62" s="32"/>
      <c r="E62" s="39"/>
      <c r="F62" s="39"/>
      <c r="G62" s="39"/>
      <c r="H62" s="39">
        <v>1</v>
      </c>
      <c r="I62" s="39"/>
      <c r="J62" s="33">
        <v>1</v>
      </c>
      <c r="M62" s="20"/>
      <c r="N62" s="44"/>
      <c r="O62" s="44"/>
    </row>
    <row r="63" ht="15.75" customHeight="1" spans="1:15">
      <c r="A63" s="38"/>
      <c r="B63" s="38"/>
      <c r="C63" s="34" t="s">
        <v>111</v>
      </c>
      <c r="D63" s="34"/>
      <c r="E63" s="40"/>
      <c r="F63" s="40"/>
      <c r="G63" s="40">
        <v>1</v>
      </c>
      <c r="H63" s="40"/>
      <c r="I63" s="40"/>
      <c r="J63" s="35">
        <v>1</v>
      </c>
      <c r="M63" s="20"/>
      <c r="N63" s="44"/>
      <c r="O63" s="44"/>
    </row>
    <row r="64" ht="15.75" customHeight="1" spans="1:15">
      <c r="A64" s="38"/>
      <c r="B64" s="38"/>
      <c r="C64" s="34" t="s">
        <v>140</v>
      </c>
      <c r="D64" s="34"/>
      <c r="E64" s="40"/>
      <c r="F64" s="40"/>
      <c r="G64" s="40"/>
      <c r="H64" s="40"/>
      <c r="I64" s="40">
        <v>1</v>
      </c>
      <c r="J64" s="35">
        <v>1</v>
      </c>
      <c r="M64" s="20"/>
      <c r="N64" s="44"/>
      <c r="O64" s="44"/>
    </row>
    <row r="65" ht="15.75" customHeight="1" spans="1:15">
      <c r="A65" s="32" t="s">
        <v>141</v>
      </c>
      <c r="B65" s="32" t="s">
        <v>32</v>
      </c>
      <c r="C65" s="32" t="s">
        <v>116</v>
      </c>
      <c r="D65" s="32"/>
      <c r="E65" s="39"/>
      <c r="F65" s="39"/>
      <c r="G65" s="39"/>
      <c r="H65" s="39">
        <v>1</v>
      </c>
      <c r="I65" s="39"/>
      <c r="J65" s="33">
        <v>1</v>
      </c>
      <c r="M65" s="20"/>
      <c r="N65" s="44"/>
      <c r="O65" s="44"/>
    </row>
    <row r="66" ht="15.75" customHeight="1" spans="1:15">
      <c r="A66" s="36" t="s">
        <v>29</v>
      </c>
      <c r="B66" s="49"/>
      <c r="C66" s="49"/>
      <c r="D66" s="36">
        <v>2</v>
      </c>
      <c r="E66" s="43">
        <v>3</v>
      </c>
      <c r="F66" s="43">
        <v>1</v>
      </c>
      <c r="G66" s="43">
        <v>31</v>
      </c>
      <c r="H66" s="43">
        <v>5</v>
      </c>
      <c r="I66" s="43">
        <v>20</v>
      </c>
      <c r="J66" s="31">
        <v>62</v>
      </c>
      <c r="M66" s="20"/>
      <c r="N66" s="44"/>
      <c r="O66" s="44"/>
    </row>
    <row r="67" ht="15.75" customHeight="1" spans="1:15">
      <c r="A67" s="20"/>
      <c r="B67" s="50"/>
      <c r="C67" s="50"/>
      <c r="D67" s="50"/>
      <c r="E67" s="50"/>
      <c r="F67" s="50"/>
      <c r="M67" s="20"/>
      <c r="N67" s="44"/>
      <c r="O67" s="44"/>
    </row>
    <row r="68" ht="15.75" customHeight="1" spans="1:15">
      <c r="A68" s="20"/>
      <c r="B68" s="50"/>
      <c r="C68" s="50"/>
      <c r="D68" s="50"/>
      <c r="E68" s="50"/>
      <c r="F68" s="50"/>
      <c r="M68" s="20"/>
      <c r="N68" s="44"/>
      <c r="O68" s="44"/>
    </row>
    <row r="69" ht="15.75" customHeight="1" spans="1:15">
      <c r="A69" s="20"/>
      <c r="B69" s="50"/>
      <c r="C69" s="50"/>
      <c r="D69" s="50"/>
      <c r="E69" s="50"/>
      <c r="F69" s="50"/>
      <c r="M69" s="20"/>
      <c r="N69" s="44"/>
      <c r="O69" s="44"/>
    </row>
    <row r="70" ht="15.75" customHeight="1" spans="1:15">
      <c r="A70" s="20"/>
      <c r="B70" s="50"/>
      <c r="C70" s="50"/>
      <c r="D70" s="50"/>
      <c r="E70" s="50"/>
      <c r="F70" s="50"/>
      <c r="M70" s="20"/>
      <c r="N70" s="44"/>
      <c r="O70" s="44"/>
    </row>
    <row r="71" ht="15.75" customHeight="1" spans="1:15">
      <c r="A71" s="20"/>
      <c r="B71" s="50"/>
      <c r="C71" s="50"/>
      <c r="D71" s="50"/>
      <c r="E71" s="50"/>
      <c r="F71" s="50"/>
      <c r="M71" s="20"/>
      <c r="N71" s="44"/>
      <c r="O71" s="44"/>
    </row>
    <row r="72" ht="15.75" customHeight="1" spans="1:15">
      <c r="A72" s="20"/>
      <c r="B72" s="50"/>
      <c r="C72" s="50"/>
      <c r="D72" s="50"/>
      <c r="E72" s="50"/>
      <c r="F72" s="50"/>
      <c r="M72" s="20"/>
      <c r="N72" s="44"/>
      <c r="O72" s="44"/>
    </row>
    <row r="73" ht="15.75" customHeight="1" spans="1:15">
      <c r="A73" s="20"/>
      <c r="B73" s="50"/>
      <c r="C73" s="50"/>
      <c r="D73" s="50"/>
      <c r="E73" s="50"/>
      <c r="F73" s="50"/>
      <c r="M73" s="20"/>
      <c r="N73" s="44"/>
      <c r="O73" s="44"/>
    </row>
    <row r="74" ht="15.75" customHeight="1" spans="1:15">
      <c r="A74" s="20"/>
      <c r="B74" s="50"/>
      <c r="C74" s="50"/>
      <c r="D74" s="50"/>
      <c r="E74" s="50"/>
      <c r="F74" s="50"/>
      <c r="M74" s="20"/>
      <c r="N74" s="44"/>
      <c r="O74" s="44"/>
    </row>
    <row r="75" ht="15.75" customHeight="1" spans="1:15">
      <c r="A75" s="20"/>
      <c r="B75" s="50"/>
      <c r="C75" s="50"/>
      <c r="D75" s="50"/>
      <c r="E75" s="50"/>
      <c r="F75" s="50"/>
      <c r="M75" s="20"/>
      <c r="N75" s="44"/>
      <c r="O75" s="44"/>
    </row>
    <row r="76" ht="15.75" customHeight="1" spans="1:15">
      <c r="A76" s="20"/>
      <c r="B76" s="50"/>
      <c r="C76" s="50"/>
      <c r="D76" s="50"/>
      <c r="E76" s="50"/>
      <c r="F76" s="50"/>
      <c r="M76" s="20"/>
      <c r="N76" s="44"/>
      <c r="O76" s="44"/>
    </row>
    <row r="77" ht="15.75" customHeight="1" spans="1:15">
      <c r="A77" s="20"/>
      <c r="B77" s="50"/>
      <c r="C77" s="50"/>
      <c r="D77" s="50"/>
      <c r="E77" s="50"/>
      <c r="F77" s="50"/>
      <c r="M77" s="20"/>
      <c r="N77" s="44"/>
      <c r="O77" s="44"/>
    </row>
    <row r="78" ht="15.75" customHeight="1" spans="1:15">
      <c r="A78" s="20"/>
      <c r="B78" s="50"/>
      <c r="C78" s="50"/>
      <c r="D78" s="50"/>
      <c r="E78" s="50"/>
      <c r="F78" s="50"/>
      <c r="M78" s="20"/>
      <c r="N78" s="44"/>
      <c r="O78" s="44"/>
    </row>
    <row r="79" ht="15.75" customHeight="1" spans="1:15">
      <c r="A79" s="20"/>
      <c r="B79" s="50"/>
      <c r="C79" s="50"/>
      <c r="D79" s="50"/>
      <c r="E79" s="50"/>
      <c r="F79" s="50"/>
      <c r="M79" s="20"/>
      <c r="N79" s="44"/>
      <c r="O79" s="44"/>
    </row>
    <row r="80" ht="15.75" customHeight="1" spans="1:15">
      <c r="A80" s="20"/>
      <c r="B80" s="50"/>
      <c r="C80" s="50"/>
      <c r="D80" s="50"/>
      <c r="E80" s="50"/>
      <c r="F80" s="50"/>
      <c r="M80" s="20"/>
      <c r="N80" s="44"/>
      <c r="O80" s="44"/>
    </row>
    <row r="81" ht="15.75" customHeight="1" spans="1:15">
      <c r="A81" s="20"/>
      <c r="B81" s="50"/>
      <c r="C81" s="50"/>
      <c r="D81" s="50"/>
      <c r="E81" s="50"/>
      <c r="F81" s="50"/>
      <c r="M81" s="20"/>
      <c r="N81" s="44"/>
      <c r="O81" s="44"/>
    </row>
    <row r="82" ht="15.75" customHeight="1" spans="1:15">
      <c r="A82" s="20"/>
      <c r="B82" s="50"/>
      <c r="C82" s="50"/>
      <c r="D82" s="50"/>
      <c r="E82" s="50"/>
      <c r="F82" s="50"/>
      <c r="M82" s="20"/>
      <c r="N82" s="44"/>
      <c r="O82" s="44"/>
    </row>
    <row r="83" ht="15.75" customHeight="1" spans="1:15">
      <c r="A83" s="20"/>
      <c r="B83" s="50"/>
      <c r="C83" s="50"/>
      <c r="D83" s="50"/>
      <c r="E83" s="50"/>
      <c r="F83" s="50"/>
      <c r="M83" s="20"/>
      <c r="N83" s="44"/>
      <c r="O83" s="44"/>
    </row>
    <row r="84" ht="15.75" customHeight="1" spans="1:15">
      <c r="A84" s="20"/>
      <c r="B84" s="50"/>
      <c r="C84" s="50"/>
      <c r="D84" s="50"/>
      <c r="E84" s="50"/>
      <c r="F84" s="50"/>
      <c r="M84" s="20"/>
      <c r="N84" s="44"/>
      <c r="O84" s="44"/>
    </row>
    <row r="85" ht="15.75" customHeight="1" spans="1:15">
      <c r="A85" s="20"/>
      <c r="B85" s="50"/>
      <c r="C85" s="50"/>
      <c r="D85" s="50"/>
      <c r="E85" s="50"/>
      <c r="F85" s="50"/>
      <c r="M85" s="20"/>
      <c r="N85" s="44"/>
      <c r="O85" s="44"/>
    </row>
    <row r="86" ht="15.75" customHeight="1" spans="1:15">
      <c r="A86" s="20"/>
      <c r="B86" s="50"/>
      <c r="C86" s="50"/>
      <c r="D86" s="50"/>
      <c r="E86" s="50"/>
      <c r="F86" s="50"/>
      <c r="M86" s="20"/>
      <c r="N86" s="44"/>
      <c r="O86" s="44"/>
    </row>
    <row r="87" ht="15.75" customHeight="1" spans="1:15">
      <c r="A87" s="20"/>
      <c r="B87" s="50"/>
      <c r="C87" s="50"/>
      <c r="D87" s="50"/>
      <c r="E87" s="50"/>
      <c r="F87" s="50"/>
      <c r="M87" s="20"/>
      <c r="N87" s="44"/>
      <c r="O87" s="44"/>
    </row>
    <row r="88" ht="15.75" customHeight="1" spans="1:15">
      <c r="A88" s="20"/>
      <c r="B88" s="50"/>
      <c r="C88" s="50"/>
      <c r="D88" s="50"/>
      <c r="E88" s="50"/>
      <c r="F88" s="50"/>
      <c r="M88" s="20"/>
      <c r="N88" s="44"/>
      <c r="O88" s="44"/>
    </row>
    <row r="89" ht="15.75" customHeight="1" spans="1:15">
      <c r="A89" s="20"/>
      <c r="B89" s="50"/>
      <c r="C89" s="50"/>
      <c r="D89" s="50"/>
      <c r="E89" s="50"/>
      <c r="F89" s="50"/>
      <c r="M89" s="20"/>
      <c r="N89" s="44"/>
      <c r="O89" s="44"/>
    </row>
    <row r="90" ht="15.75" customHeight="1" spans="1:15">
      <c r="A90" s="20"/>
      <c r="B90" s="50"/>
      <c r="C90" s="50"/>
      <c r="D90" s="50"/>
      <c r="E90" s="50"/>
      <c r="F90" s="50"/>
      <c r="M90" s="20"/>
      <c r="N90" s="44"/>
      <c r="O90" s="44"/>
    </row>
    <row r="91" ht="15.75" customHeight="1" spans="1:15">
      <c r="A91" s="20"/>
      <c r="B91" s="50"/>
      <c r="C91" s="50"/>
      <c r="D91" s="50"/>
      <c r="E91" s="50"/>
      <c r="F91" s="50"/>
      <c r="M91" s="20"/>
      <c r="N91" s="44"/>
      <c r="O91" s="44"/>
    </row>
    <row r="92" ht="15.75" customHeight="1" spans="1:15">
      <c r="A92" s="20"/>
      <c r="B92" s="50"/>
      <c r="C92" s="50"/>
      <c r="D92" s="50"/>
      <c r="E92" s="50"/>
      <c r="F92" s="50"/>
      <c r="M92" s="20"/>
      <c r="N92" s="44"/>
      <c r="O92" s="44"/>
    </row>
    <row r="93" ht="15.75" customHeight="1" spans="1:15">
      <c r="A93" s="20"/>
      <c r="B93" s="50"/>
      <c r="C93" s="50"/>
      <c r="D93" s="50"/>
      <c r="E93" s="50"/>
      <c r="F93" s="50"/>
      <c r="M93" s="20"/>
      <c r="N93" s="44"/>
      <c r="O93" s="44"/>
    </row>
    <row r="94" ht="15.75" customHeight="1" spans="1:15">
      <c r="A94" s="20"/>
      <c r="B94" s="50"/>
      <c r="C94" s="50"/>
      <c r="D94" s="50"/>
      <c r="E94" s="50"/>
      <c r="F94" s="50"/>
      <c r="M94" s="20"/>
      <c r="N94" s="44"/>
      <c r="O94" s="44"/>
    </row>
    <row r="95" ht="15.75" customHeight="1" spans="1:15">
      <c r="A95" s="20"/>
      <c r="B95" s="50"/>
      <c r="C95" s="50"/>
      <c r="D95" s="50"/>
      <c r="E95" s="50"/>
      <c r="F95" s="50"/>
      <c r="M95" s="20"/>
      <c r="N95" s="44"/>
      <c r="O95" s="44"/>
    </row>
    <row r="96" ht="15.75" customHeight="1" spans="1:15">
      <c r="A96" s="20"/>
      <c r="B96" s="50"/>
      <c r="C96" s="50"/>
      <c r="D96" s="50"/>
      <c r="E96" s="50"/>
      <c r="F96" s="50"/>
      <c r="M96" s="20"/>
      <c r="N96" s="44"/>
      <c r="O96" s="44"/>
    </row>
    <row r="97" ht="15.75" customHeight="1" spans="1:15">
      <c r="A97" s="20"/>
      <c r="B97" s="50"/>
      <c r="C97" s="50"/>
      <c r="D97" s="50"/>
      <c r="E97" s="50"/>
      <c r="F97" s="50"/>
      <c r="M97" s="20"/>
      <c r="N97" s="44"/>
      <c r="O97" s="44"/>
    </row>
    <row r="98" ht="15.75" customHeight="1" spans="1:15">
      <c r="A98" s="20"/>
      <c r="B98" s="50"/>
      <c r="C98" s="50"/>
      <c r="D98" s="50"/>
      <c r="E98" s="50"/>
      <c r="F98" s="50"/>
      <c r="M98" s="20"/>
      <c r="N98" s="44"/>
      <c r="O98" s="44"/>
    </row>
    <row r="99" ht="15.75" customHeight="1" spans="1:15">
      <c r="A99" s="20"/>
      <c r="B99" s="50"/>
      <c r="C99" s="50"/>
      <c r="D99" s="50"/>
      <c r="E99" s="50"/>
      <c r="F99" s="50"/>
      <c r="M99" s="20"/>
      <c r="N99" s="44"/>
      <c r="O99" s="44"/>
    </row>
    <row r="100" ht="15.75" customHeight="1" spans="1:15">
      <c r="A100" s="20"/>
      <c r="B100" s="50"/>
      <c r="C100" s="50"/>
      <c r="D100" s="50"/>
      <c r="E100" s="50"/>
      <c r="F100" s="50"/>
      <c r="M100" s="20"/>
      <c r="N100" s="44"/>
      <c r="O100" s="44"/>
    </row>
    <row r="101" ht="15.75" customHeight="1" spans="1:15">
      <c r="A101" s="20"/>
      <c r="B101" s="50"/>
      <c r="C101" s="50"/>
      <c r="D101" s="50"/>
      <c r="E101" s="50"/>
      <c r="F101" s="50"/>
      <c r="M101" s="20"/>
      <c r="N101" s="44"/>
      <c r="O101" s="44"/>
    </row>
    <row r="102" ht="15.75" customHeight="1" spans="1:15">
      <c r="A102" s="20"/>
      <c r="B102" s="50"/>
      <c r="C102" s="50"/>
      <c r="D102" s="50"/>
      <c r="E102" s="50"/>
      <c r="F102" s="50"/>
      <c r="M102" s="20"/>
      <c r="N102" s="44"/>
      <c r="O102" s="44"/>
    </row>
    <row r="103" ht="15.75" customHeight="1" spans="1:15">
      <c r="A103" s="20"/>
      <c r="B103" s="50"/>
      <c r="C103" s="50"/>
      <c r="D103" s="50"/>
      <c r="E103" s="50"/>
      <c r="F103" s="50"/>
      <c r="M103" s="20"/>
      <c r="N103" s="44"/>
      <c r="O103" s="44"/>
    </row>
    <row r="104" ht="15.75" customHeight="1" spans="1:15">
      <c r="A104" s="20"/>
      <c r="B104" s="50"/>
      <c r="C104" s="50"/>
      <c r="D104" s="50"/>
      <c r="E104" s="50"/>
      <c r="F104" s="50"/>
      <c r="M104" s="20"/>
      <c r="N104" s="44"/>
      <c r="O104" s="44"/>
    </row>
    <row r="105" ht="15.75" customHeight="1" spans="1:15">
      <c r="A105" s="20"/>
      <c r="B105" s="50"/>
      <c r="C105" s="50"/>
      <c r="D105" s="50"/>
      <c r="E105" s="50"/>
      <c r="F105" s="50"/>
      <c r="M105" s="20"/>
      <c r="N105" s="44"/>
      <c r="O105" s="44"/>
    </row>
    <row r="106" ht="15.75" customHeight="1" spans="1:15">
      <c r="A106" s="20"/>
      <c r="B106" s="50"/>
      <c r="C106" s="50"/>
      <c r="D106" s="50"/>
      <c r="E106" s="50"/>
      <c r="F106" s="50"/>
      <c r="M106" s="20"/>
      <c r="N106" s="44"/>
      <c r="O106" s="44"/>
    </row>
    <row r="107" ht="15.75" customHeight="1" spans="1:15">
      <c r="A107" s="20"/>
      <c r="B107" s="50"/>
      <c r="C107" s="50"/>
      <c r="D107" s="50"/>
      <c r="E107" s="50"/>
      <c r="F107" s="50"/>
      <c r="M107" s="20"/>
      <c r="N107" s="44"/>
      <c r="O107" s="44"/>
    </row>
    <row r="108" ht="15.75" customHeight="1" spans="1:15">
      <c r="A108" s="20"/>
      <c r="B108" s="50"/>
      <c r="C108" s="50"/>
      <c r="D108" s="50"/>
      <c r="E108" s="50"/>
      <c r="F108" s="50"/>
      <c r="M108" s="20"/>
      <c r="N108" s="44"/>
      <c r="O108" s="44"/>
    </row>
    <row r="109" ht="15.75" customHeight="1" spans="1:15">
      <c r="A109" s="20"/>
      <c r="B109" s="50"/>
      <c r="C109" s="50"/>
      <c r="D109" s="50"/>
      <c r="E109" s="50"/>
      <c r="F109" s="50"/>
      <c r="M109" s="20"/>
      <c r="N109" s="44"/>
      <c r="O109" s="44"/>
    </row>
    <row r="110" ht="15.75" customHeight="1" spans="1:15">
      <c r="A110" s="20"/>
      <c r="B110" s="50"/>
      <c r="C110" s="50"/>
      <c r="D110" s="50"/>
      <c r="E110" s="50"/>
      <c r="F110" s="50"/>
      <c r="M110" s="20"/>
      <c r="N110" s="44"/>
      <c r="O110" s="44"/>
    </row>
    <row r="111" ht="15.75" customHeight="1" spans="1:15">
      <c r="A111" s="20"/>
      <c r="B111" s="50"/>
      <c r="C111" s="50"/>
      <c r="D111" s="50"/>
      <c r="E111" s="50"/>
      <c r="F111" s="50"/>
      <c r="M111" s="20"/>
      <c r="N111" s="44"/>
      <c r="O111" s="44"/>
    </row>
    <row r="112" ht="15.75" customHeight="1" spans="1:15">
      <c r="A112" s="20"/>
      <c r="B112" s="50"/>
      <c r="C112" s="50"/>
      <c r="D112" s="50"/>
      <c r="E112" s="50"/>
      <c r="F112" s="50"/>
      <c r="M112" s="20"/>
      <c r="N112" s="44"/>
      <c r="O112" s="44"/>
    </row>
    <row r="113" ht="15.75" customHeight="1" spans="1:15">
      <c r="A113" s="20"/>
      <c r="B113" s="50"/>
      <c r="C113" s="50"/>
      <c r="D113" s="50"/>
      <c r="E113" s="50"/>
      <c r="F113" s="50"/>
      <c r="M113" s="20"/>
      <c r="N113" s="44"/>
      <c r="O113" s="44"/>
    </row>
    <row r="114" ht="15.75" customHeight="1" spans="1:15">
      <c r="A114" s="20"/>
      <c r="B114" s="50"/>
      <c r="C114" s="50"/>
      <c r="D114" s="50"/>
      <c r="E114" s="50"/>
      <c r="F114" s="50"/>
      <c r="M114" s="20"/>
      <c r="N114" s="44"/>
      <c r="O114" s="44"/>
    </row>
    <row r="115" ht="15.75" customHeight="1" spans="1:15">
      <c r="A115" s="20"/>
      <c r="B115" s="50"/>
      <c r="C115" s="50"/>
      <c r="D115" s="50"/>
      <c r="E115" s="50"/>
      <c r="F115" s="50"/>
      <c r="M115" s="20"/>
      <c r="N115" s="44"/>
      <c r="O115" s="44"/>
    </row>
    <row r="116" ht="15.75" customHeight="1" spans="1:15">
      <c r="A116" s="20"/>
      <c r="B116" s="50"/>
      <c r="C116" s="50"/>
      <c r="D116" s="50"/>
      <c r="E116" s="50"/>
      <c r="F116" s="50"/>
      <c r="M116" s="20"/>
      <c r="N116" s="44"/>
      <c r="O116" s="44"/>
    </row>
    <row r="117" ht="15.75" customHeight="1" spans="1:15">
      <c r="A117" s="20"/>
      <c r="B117" s="50"/>
      <c r="C117" s="50"/>
      <c r="D117" s="50"/>
      <c r="E117" s="50"/>
      <c r="F117" s="50"/>
      <c r="M117" s="20"/>
      <c r="N117" s="44"/>
      <c r="O117" s="44"/>
    </row>
    <row r="118" ht="15.75" customHeight="1" spans="1:15">
      <c r="A118" s="20"/>
      <c r="B118" s="50"/>
      <c r="C118" s="50"/>
      <c r="D118" s="50"/>
      <c r="E118" s="50"/>
      <c r="F118" s="50"/>
      <c r="M118" s="20"/>
      <c r="N118" s="44"/>
      <c r="O118" s="44"/>
    </row>
    <row r="119" ht="15.75" customHeight="1" spans="1:15">
      <c r="A119" s="20"/>
      <c r="B119" s="50"/>
      <c r="C119" s="50"/>
      <c r="D119" s="50"/>
      <c r="E119" s="50"/>
      <c r="F119" s="50"/>
      <c r="M119" s="20"/>
      <c r="N119" s="44"/>
      <c r="O119" s="44"/>
    </row>
    <row r="120" ht="15.75" customHeight="1" spans="1:15">
      <c r="A120" s="20"/>
      <c r="B120" s="50"/>
      <c r="C120" s="50"/>
      <c r="D120" s="50"/>
      <c r="E120" s="50"/>
      <c r="F120" s="50"/>
      <c r="M120" s="20"/>
      <c r="N120" s="44"/>
      <c r="O120" s="44"/>
    </row>
    <row r="121" ht="15.75" customHeight="1" spans="1:15">
      <c r="A121" s="20"/>
      <c r="B121" s="50"/>
      <c r="C121" s="50"/>
      <c r="D121" s="50"/>
      <c r="E121" s="50"/>
      <c r="F121" s="50"/>
      <c r="M121" s="20"/>
      <c r="N121" s="44"/>
      <c r="O121" s="44"/>
    </row>
    <row r="122" ht="15.75" customHeight="1" spans="1:15">
      <c r="A122" s="20"/>
      <c r="B122" s="50"/>
      <c r="C122" s="50"/>
      <c r="D122" s="50"/>
      <c r="E122" s="50"/>
      <c r="F122" s="50"/>
      <c r="M122" s="20"/>
      <c r="N122" s="44"/>
      <c r="O122" s="44"/>
    </row>
    <row r="123" ht="15.75" customHeight="1" spans="1:15">
      <c r="A123" s="20"/>
      <c r="B123" s="50"/>
      <c r="C123" s="50"/>
      <c r="D123" s="50"/>
      <c r="E123" s="50"/>
      <c r="F123" s="50"/>
      <c r="M123" s="20"/>
      <c r="N123" s="44"/>
      <c r="O123" s="44"/>
    </row>
    <row r="124" ht="15.75" customHeight="1" spans="1:15">
      <c r="A124" s="20"/>
      <c r="B124" s="50"/>
      <c r="C124" s="50"/>
      <c r="D124" s="50"/>
      <c r="E124" s="50"/>
      <c r="F124" s="50"/>
      <c r="M124" s="20"/>
      <c r="N124" s="44"/>
      <c r="O124" s="44"/>
    </row>
    <row r="125" ht="15.75" customHeight="1" spans="1:15">
      <c r="A125" s="20"/>
      <c r="B125" s="50"/>
      <c r="C125" s="50"/>
      <c r="D125" s="50"/>
      <c r="E125" s="50"/>
      <c r="F125" s="50"/>
      <c r="M125" s="20"/>
      <c r="N125" s="44"/>
      <c r="O125" s="44"/>
    </row>
    <row r="126" ht="15.75" customHeight="1" spans="1:15">
      <c r="A126" s="20"/>
      <c r="B126" s="50"/>
      <c r="C126" s="50"/>
      <c r="D126" s="50"/>
      <c r="E126" s="50"/>
      <c r="F126" s="50"/>
      <c r="M126" s="20"/>
      <c r="N126" s="44"/>
      <c r="O126" s="44"/>
    </row>
    <row r="127" ht="15.75" customHeight="1" spans="1:15">
      <c r="A127" s="20"/>
      <c r="B127" s="50"/>
      <c r="C127" s="50"/>
      <c r="D127" s="50"/>
      <c r="E127" s="50"/>
      <c r="F127" s="50"/>
      <c r="M127" s="20"/>
      <c r="N127" s="44"/>
      <c r="O127" s="44"/>
    </row>
    <row r="128" ht="15.75" customHeight="1" spans="1:15">
      <c r="A128" s="20"/>
      <c r="B128" s="50"/>
      <c r="C128" s="50"/>
      <c r="D128" s="50"/>
      <c r="E128" s="50"/>
      <c r="F128" s="50"/>
      <c r="M128" s="20"/>
      <c r="N128" s="44"/>
      <c r="O128" s="44"/>
    </row>
    <row r="129" ht="15.75" customHeight="1" spans="1:15">
      <c r="A129" s="20"/>
      <c r="B129" s="50"/>
      <c r="C129" s="50"/>
      <c r="D129" s="50"/>
      <c r="E129" s="50"/>
      <c r="F129" s="50"/>
      <c r="M129" s="20"/>
      <c r="N129" s="44"/>
      <c r="O129" s="44"/>
    </row>
    <row r="130" ht="15.75" customHeight="1" spans="1:15">
      <c r="A130" s="20"/>
      <c r="B130" s="50"/>
      <c r="C130" s="50"/>
      <c r="D130" s="50"/>
      <c r="E130" s="50"/>
      <c r="F130" s="50"/>
      <c r="M130" s="20"/>
      <c r="N130" s="44"/>
      <c r="O130" s="44"/>
    </row>
    <row r="131" ht="15.75" customHeight="1" spans="1:15">
      <c r="A131" s="20"/>
      <c r="B131" s="50"/>
      <c r="C131" s="50"/>
      <c r="D131" s="50"/>
      <c r="E131" s="50"/>
      <c r="F131" s="50"/>
      <c r="M131" s="20"/>
      <c r="N131" s="44"/>
      <c r="O131" s="44"/>
    </row>
    <row r="132" ht="15.75" customHeight="1" spans="1:15">
      <c r="A132" s="20"/>
      <c r="B132" s="50"/>
      <c r="C132" s="50"/>
      <c r="D132" s="50"/>
      <c r="E132" s="50"/>
      <c r="F132" s="50"/>
      <c r="M132" s="20"/>
      <c r="N132" s="44"/>
      <c r="O132" s="44"/>
    </row>
    <row r="133" ht="15.75" customHeight="1" spans="1:15">
      <c r="A133" s="20"/>
      <c r="B133" s="50"/>
      <c r="C133" s="50"/>
      <c r="D133" s="50"/>
      <c r="E133" s="50"/>
      <c r="F133" s="50"/>
      <c r="M133" s="20"/>
      <c r="N133" s="44"/>
      <c r="O133" s="44"/>
    </row>
    <row r="134" ht="15.75" customHeight="1" spans="1:15">
      <c r="A134" s="20"/>
      <c r="B134" s="50"/>
      <c r="C134" s="50"/>
      <c r="D134" s="50"/>
      <c r="E134" s="50"/>
      <c r="F134" s="50"/>
      <c r="M134" s="20"/>
      <c r="N134" s="44"/>
      <c r="O134" s="44"/>
    </row>
    <row r="135" ht="15.75" customHeight="1" spans="1:15">
      <c r="A135" s="20"/>
      <c r="B135" s="50"/>
      <c r="C135" s="50"/>
      <c r="D135" s="50"/>
      <c r="E135" s="50"/>
      <c r="F135" s="50"/>
      <c r="M135" s="20"/>
      <c r="N135" s="44"/>
      <c r="O135" s="44"/>
    </row>
    <row r="136" ht="15.75" customHeight="1" spans="1:15">
      <c r="A136" s="20"/>
      <c r="B136" s="50"/>
      <c r="C136" s="50"/>
      <c r="D136" s="50"/>
      <c r="E136" s="50"/>
      <c r="F136" s="50"/>
      <c r="M136" s="20"/>
      <c r="N136" s="44"/>
      <c r="O136" s="44"/>
    </row>
    <row r="137" ht="15.75" customHeight="1" spans="1:15">
      <c r="A137" s="20"/>
      <c r="B137" s="50"/>
      <c r="C137" s="50"/>
      <c r="D137" s="50"/>
      <c r="E137" s="50"/>
      <c r="F137" s="50"/>
      <c r="M137" s="20"/>
      <c r="N137" s="44"/>
      <c r="O137" s="44"/>
    </row>
    <row r="138" ht="15.75" customHeight="1" spans="1:15">
      <c r="A138" s="20"/>
      <c r="B138" s="50"/>
      <c r="C138" s="50"/>
      <c r="D138" s="50"/>
      <c r="E138" s="50"/>
      <c r="F138" s="50"/>
      <c r="M138" s="20"/>
      <c r="N138" s="44"/>
      <c r="O138" s="44"/>
    </row>
    <row r="139" ht="15.75" customHeight="1" spans="1:15">
      <c r="A139" s="20"/>
      <c r="B139" s="50"/>
      <c r="C139" s="50"/>
      <c r="D139" s="50"/>
      <c r="E139" s="50"/>
      <c r="F139" s="50"/>
      <c r="M139" s="20"/>
      <c r="N139" s="44"/>
      <c r="O139" s="44"/>
    </row>
    <row r="140" ht="15.75" customHeight="1" spans="1:15">
      <c r="A140" s="20"/>
      <c r="B140" s="50"/>
      <c r="C140" s="50"/>
      <c r="D140" s="50"/>
      <c r="E140" s="50"/>
      <c r="F140" s="50"/>
      <c r="M140" s="20"/>
      <c r="N140" s="44"/>
      <c r="O140" s="44"/>
    </row>
    <row r="141" ht="15.75" customHeight="1" spans="1:15">
      <c r="A141" s="20"/>
      <c r="B141" s="50"/>
      <c r="C141" s="50"/>
      <c r="D141" s="50"/>
      <c r="E141" s="50"/>
      <c r="F141" s="50"/>
      <c r="M141" s="20"/>
      <c r="N141" s="44"/>
      <c r="O141" s="44"/>
    </row>
    <row r="142" ht="15.75" customHeight="1" spans="1:15">
      <c r="A142" s="20"/>
      <c r="B142" s="50"/>
      <c r="C142" s="50"/>
      <c r="D142" s="50"/>
      <c r="E142" s="50"/>
      <c r="F142" s="50"/>
      <c r="M142" s="20"/>
      <c r="N142" s="44"/>
      <c r="O142" s="44"/>
    </row>
    <row r="143" ht="15.75" customHeight="1" spans="1:15">
      <c r="A143" s="20"/>
      <c r="B143" s="50"/>
      <c r="C143" s="50"/>
      <c r="D143" s="50"/>
      <c r="E143" s="50"/>
      <c r="F143" s="50"/>
      <c r="M143" s="20"/>
      <c r="N143" s="44"/>
      <c r="O143" s="44"/>
    </row>
    <row r="144" ht="15.75" customHeight="1" spans="1:15">
      <c r="A144" s="20"/>
      <c r="B144" s="50"/>
      <c r="C144" s="50"/>
      <c r="D144" s="50"/>
      <c r="E144" s="50"/>
      <c r="F144" s="50"/>
      <c r="M144" s="20"/>
      <c r="N144" s="44"/>
      <c r="O144" s="44"/>
    </row>
    <row r="145" ht="15.75" customHeight="1" spans="1:15">
      <c r="A145" s="20"/>
      <c r="B145" s="50"/>
      <c r="C145" s="50"/>
      <c r="D145" s="50"/>
      <c r="E145" s="50"/>
      <c r="F145" s="50"/>
      <c r="M145" s="20"/>
      <c r="N145" s="44"/>
      <c r="O145" s="44"/>
    </row>
    <row r="146" ht="15.75" customHeight="1" spans="1:15">
      <c r="A146" s="20"/>
      <c r="B146" s="50"/>
      <c r="C146" s="50"/>
      <c r="D146" s="50"/>
      <c r="E146" s="50"/>
      <c r="F146" s="50"/>
      <c r="M146" s="20"/>
      <c r="N146" s="44"/>
      <c r="O146" s="44"/>
    </row>
    <row r="147" ht="15.75" customHeight="1" spans="1:15">
      <c r="A147" s="20"/>
      <c r="B147" s="50"/>
      <c r="C147" s="50"/>
      <c r="D147" s="50"/>
      <c r="E147" s="50"/>
      <c r="F147" s="50"/>
      <c r="M147" s="20"/>
      <c r="N147" s="44"/>
      <c r="O147" s="44"/>
    </row>
    <row r="148" ht="15.75" customHeight="1" spans="1:15">
      <c r="A148" s="20"/>
      <c r="B148" s="50"/>
      <c r="C148" s="50"/>
      <c r="D148" s="50"/>
      <c r="E148" s="50"/>
      <c r="F148" s="50"/>
      <c r="M148" s="20"/>
      <c r="N148" s="44"/>
      <c r="O148" s="44"/>
    </row>
    <row r="149" ht="15.75" customHeight="1" spans="1:15">
      <c r="A149" s="20"/>
      <c r="B149" s="50"/>
      <c r="C149" s="50"/>
      <c r="D149" s="50"/>
      <c r="E149" s="50"/>
      <c r="F149" s="50"/>
      <c r="M149" s="20"/>
      <c r="N149" s="44"/>
      <c r="O149" s="44"/>
    </row>
    <row r="150" ht="15.75" customHeight="1" spans="1:15">
      <c r="A150" s="20"/>
      <c r="B150" s="50"/>
      <c r="C150" s="50"/>
      <c r="D150" s="50"/>
      <c r="E150" s="50"/>
      <c r="F150" s="50"/>
      <c r="M150" s="20"/>
      <c r="N150" s="44"/>
      <c r="O150" s="44"/>
    </row>
    <row r="151" ht="15.75" customHeight="1" spans="1:15">
      <c r="A151" s="20"/>
      <c r="B151" s="50"/>
      <c r="C151" s="50"/>
      <c r="D151" s="50"/>
      <c r="E151" s="50"/>
      <c r="F151" s="50"/>
      <c r="M151" s="20"/>
      <c r="N151" s="44"/>
      <c r="O151" s="44"/>
    </row>
    <row r="152" ht="15.75" customHeight="1" spans="1:15">
      <c r="A152" s="20"/>
      <c r="B152" s="50"/>
      <c r="C152" s="50"/>
      <c r="D152" s="50"/>
      <c r="E152" s="50"/>
      <c r="F152" s="50"/>
      <c r="M152" s="20"/>
      <c r="N152" s="44"/>
      <c r="O152" s="44"/>
    </row>
    <row r="153" ht="15.75" customHeight="1" spans="1:15">
      <c r="A153" s="20"/>
      <c r="B153" s="50"/>
      <c r="C153" s="50"/>
      <c r="D153" s="50"/>
      <c r="E153" s="50"/>
      <c r="F153" s="50"/>
      <c r="M153" s="20"/>
      <c r="N153" s="44"/>
      <c r="O153" s="44"/>
    </row>
    <row r="154" ht="15.75" customHeight="1" spans="1:15">
      <c r="A154" s="20"/>
      <c r="B154" s="50"/>
      <c r="C154" s="50"/>
      <c r="D154" s="50"/>
      <c r="E154" s="50"/>
      <c r="F154" s="50"/>
      <c r="M154" s="20"/>
      <c r="N154" s="44"/>
      <c r="O154" s="44"/>
    </row>
    <row r="155" ht="15.75" customHeight="1" spans="1:15">
      <c r="A155" s="20"/>
      <c r="B155" s="50"/>
      <c r="C155" s="50"/>
      <c r="D155" s="50"/>
      <c r="E155" s="50"/>
      <c r="F155" s="50"/>
      <c r="M155" s="20"/>
      <c r="N155" s="44"/>
      <c r="O155" s="44"/>
    </row>
    <row r="156" ht="15.75" customHeight="1" spans="1:15">
      <c r="A156" s="20"/>
      <c r="B156" s="50"/>
      <c r="C156" s="50"/>
      <c r="D156" s="50"/>
      <c r="E156" s="50"/>
      <c r="F156" s="50"/>
      <c r="M156" s="20"/>
      <c r="N156" s="44"/>
      <c r="O156" s="44"/>
    </row>
    <row r="157" ht="15.75" customHeight="1" spans="1:15">
      <c r="A157" s="20"/>
      <c r="B157" s="50"/>
      <c r="C157" s="50"/>
      <c r="D157" s="50"/>
      <c r="E157" s="50"/>
      <c r="F157" s="50"/>
      <c r="M157" s="20"/>
      <c r="N157" s="44"/>
      <c r="O157" s="44"/>
    </row>
    <row r="158" ht="15.75" customHeight="1" spans="1:15">
      <c r="A158" s="20"/>
      <c r="B158" s="50"/>
      <c r="C158" s="50"/>
      <c r="D158" s="50"/>
      <c r="E158" s="50"/>
      <c r="F158" s="50"/>
      <c r="M158" s="20"/>
      <c r="N158" s="44"/>
      <c r="O158" s="44"/>
    </row>
    <row r="159" ht="15.75" customHeight="1" spans="1:15">
      <c r="A159" s="20"/>
      <c r="B159" s="50"/>
      <c r="C159" s="50"/>
      <c r="D159" s="50"/>
      <c r="E159" s="50"/>
      <c r="F159" s="50"/>
      <c r="M159" s="20"/>
      <c r="N159" s="44"/>
      <c r="O159" s="44"/>
    </row>
    <row r="160" ht="15.75" customHeight="1" spans="1:15">
      <c r="A160" s="20"/>
      <c r="B160" s="50"/>
      <c r="C160" s="50"/>
      <c r="D160" s="50"/>
      <c r="E160" s="50"/>
      <c r="F160" s="50"/>
      <c r="M160" s="20"/>
      <c r="N160" s="44"/>
      <c r="O160" s="44"/>
    </row>
    <row r="161" ht="15.75" customHeight="1" spans="1:15">
      <c r="A161" s="20"/>
      <c r="B161" s="50"/>
      <c r="C161" s="50"/>
      <c r="D161" s="50"/>
      <c r="E161" s="50"/>
      <c r="F161" s="50"/>
      <c r="M161" s="20"/>
      <c r="N161" s="44"/>
      <c r="O161" s="44"/>
    </row>
    <row r="162" ht="15.75" customHeight="1" spans="1:15">
      <c r="A162" s="20"/>
      <c r="B162" s="50"/>
      <c r="C162" s="50"/>
      <c r="D162" s="50"/>
      <c r="E162" s="50"/>
      <c r="F162" s="50"/>
      <c r="M162" s="20"/>
      <c r="N162" s="44"/>
      <c r="O162" s="44"/>
    </row>
    <row r="163" ht="15.75" customHeight="1" spans="1:15">
      <c r="A163" s="20"/>
      <c r="B163" s="50"/>
      <c r="C163" s="50"/>
      <c r="D163" s="50"/>
      <c r="E163" s="50"/>
      <c r="F163" s="50"/>
      <c r="M163" s="20"/>
      <c r="N163" s="44"/>
      <c r="O163" s="44"/>
    </row>
    <row r="164" ht="15.75" customHeight="1" spans="1:15">
      <c r="A164" s="20"/>
      <c r="B164" s="50"/>
      <c r="C164" s="50"/>
      <c r="D164" s="50"/>
      <c r="E164" s="50"/>
      <c r="F164" s="50"/>
      <c r="M164" s="20"/>
      <c r="N164" s="44"/>
      <c r="O164" s="44"/>
    </row>
    <row r="165" ht="15.75" customHeight="1" spans="1:15">
      <c r="A165" s="20"/>
      <c r="B165" s="50"/>
      <c r="C165" s="50"/>
      <c r="D165" s="50"/>
      <c r="E165" s="50"/>
      <c r="F165" s="50"/>
      <c r="M165" s="20"/>
      <c r="N165" s="44"/>
      <c r="O165" s="44"/>
    </row>
    <row r="166" ht="15.75" customHeight="1" spans="1:15">
      <c r="A166" s="20"/>
      <c r="B166" s="50"/>
      <c r="C166" s="50"/>
      <c r="D166" s="50"/>
      <c r="E166" s="50"/>
      <c r="F166" s="50"/>
      <c r="M166" s="20"/>
      <c r="N166" s="44"/>
      <c r="O166" s="44"/>
    </row>
    <row r="167" ht="15.75" customHeight="1" spans="1:15">
      <c r="A167" s="20"/>
      <c r="B167" s="50"/>
      <c r="C167" s="50"/>
      <c r="D167" s="50"/>
      <c r="E167" s="50"/>
      <c r="F167" s="50"/>
      <c r="M167" s="20"/>
      <c r="N167" s="44"/>
      <c r="O167" s="44"/>
    </row>
    <row r="168" ht="15.75" customHeight="1" spans="1:15">
      <c r="A168" s="20"/>
      <c r="B168" s="50"/>
      <c r="C168" s="50"/>
      <c r="D168" s="50"/>
      <c r="E168" s="50"/>
      <c r="F168" s="50"/>
      <c r="M168" s="20"/>
      <c r="N168" s="44"/>
      <c r="O168" s="44"/>
    </row>
    <row r="169" ht="15.75" customHeight="1" spans="1:15">
      <c r="A169" s="20"/>
      <c r="B169" s="50"/>
      <c r="C169" s="50"/>
      <c r="D169" s="50"/>
      <c r="E169" s="50"/>
      <c r="F169" s="50"/>
      <c r="M169" s="20"/>
      <c r="N169" s="44"/>
      <c r="O169" s="44"/>
    </row>
    <row r="170" ht="15.75" customHeight="1" spans="1:15">
      <c r="A170" s="20"/>
      <c r="B170" s="50"/>
      <c r="C170" s="50"/>
      <c r="D170" s="50"/>
      <c r="E170" s="50"/>
      <c r="F170" s="50"/>
      <c r="M170" s="20"/>
      <c r="N170" s="44"/>
      <c r="O170" s="44"/>
    </row>
    <row r="171" ht="15.75" customHeight="1" spans="1:15">
      <c r="A171" s="20"/>
      <c r="B171" s="50"/>
      <c r="C171" s="50"/>
      <c r="D171" s="50"/>
      <c r="E171" s="50"/>
      <c r="F171" s="50"/>
      <c r="M171" s="20"/>
      <c r="N171" s="44"/>
      <c r="O171" s="44"/>
    </row>
    <row r="172" ht="15.75" customHeight="1" spans="1:15">
      <c r="A172" s="20"/>
      <c r="B172" s="50"/>
      <c r="C172" s="50"/>
      <c r="D172" s="50"/>
      <c r="E172" s="50"/>
      <c r="F172" s="50"/>
      <c r="M172" s="20"/>
      <c r="N172" s="44"/>
      <c r="O172" s="44"/>
    </row>
    <row r="173" ht="15.75" customHeight="1" spans="1:15">
      <c r="A173" s="20"/>
      <c r="B173" s="50"/>
      <c r="C173" s="50"/>
      <c r="D173" s="50"/>
      <c r="E173" s="50"/>
      <c r="F173" s="50"/>
      <c r="M173" s="20"/>
      <c r="N173" s="44"/>
      <c r="O173" s="44"/>
    </row>
    <row r="174" ht="15.75" customHeight="1" spans="1:15">
      <c r="A174" s="20"/>
      <c r="B174" s="50"/>
      <c r="C174" s="50"/>
      <c r="D174" s="50"/>
      <c r="E174" s="50"/>
      <c r="F174" s="50"/>
      <c r="M174" s="20"/>
      <c r="N174" s="44"/>
      <c r="O174" s="44"/>
    </row>
    <row r="175" ht="15.75" customHeight="1" spans="1:15">
      <c r="A175" s="20"/>
      <c r="B175" s="50"/>
      <c r="C175" s="50"/>
      <c r="D175" s="50"/>
      <c r="E175" s="50"/>
      <c r="F175" s="50"/>
      <c r="M175" s="20"/>
      <c r="N175" s="44"/>
      <c r="O175" s="44"/>
    </row>
    <row r="176" ht="15.75" customHeight="1" spans="1:15">
      <c r="A176" s="20"/>
      <c r="B176" s="50"/>
      <c r="C176" s="50"/>
      <c r="D176" s="50"/>
      <c r="E176" s="50"/>
      <c r="F176" s="50"/>
      <c r="M176" s="20"/>
      <c r="N176" s="44"/>
      <c r="O176" s="44"/>
    </row>
    <row r="177" ht="15.75" customHeight="1" spans="1:15">
      <c r="A177" s="20"/>
      <c r="B177" s="50"/>
      <c r="C177" s="50"/>
      <c r="D177" s="50"/>
      <c r="E177" s="50"/>
      <c r="F177" s="50"/>
      <c r="M177" s="20"/>
      <c r="N177" s="44"/>
      <c r="O177" s="44"/>
    </row>
    <row r="178" ht="15.75" customHeight="1" spans="1:15">
      <c r="A178" s="20"/>
      <c r="B178" s="50"/>
      <c r="C178" s="50"/>
      <c r="D178" s="50"/>
      <c r="E178" s="50"/>
      <c r="F178" s="50"/>
      <c r="M178" s="20"/>
      <c r="N178" s="44"/>
      <c r="O178" s="44"/>
    </row>
    <row r="179" ht="15.75" customHeight="1" spans="1:15">
      <c r="A179" s="20"/>
      <c r="B179" s="50"/>
      <c r="C179" s="50"/>
      <c r="D179" s="50"/>
      <c r="E179" s="50"/>
      <c r="F179" s="50"/>
      <c r="M179" s="20"/>
      <c r="N179" s="44"/>
      <c r="O179" s="44"/>
    </row>
    <row r="180" ht="15.75" customHeight="1" spans="1:15">
      <c r="A180" s="20"/>
      <c r="B180" s="50"/>
      <c r="C180" s="50"/>
      <c r="D180" s="50"/>
      <c r="E180" s="50"/>
      <c r="F180" s="50"/>
      <c r="M180" s="20"/>
      <c r="N180" s="44"/>
      <c r="O180" s="44"/>
    </row>
    <row r="181" ht="15.75" customHeight="1" spans="1:15">
      <c r="A181" s="20"/>
      <c r="B181" s="50"/>
      <c r="C181" s="50"/>
      <c r="D181" s="50"/>
      <c r="E181" s="50"/>
      <c r="F181" s="50"/>
      <c r="M181" s="20"/>
      <c r="N181" s="44"/>
      <c r="O181" s="44"/>
    </row>
    <row r="182" ht="15.75" customHeight="1" spans="1:15">
      <c r="A182" s="20"/>
      <c r="B182" s="50"/>
      <c r="C182" s="50"/>
      <c r="D182" s="50"/>
      <c r="E182" s="50"/>
      <c r="F182" s="50"/>
      <c r="M182" s="20"/>
      <c r="N182" s="44"/>
      <c r="O182" s="44"/>
    </row>
    <row r="183" ht="15.75" customHeight="1" spans="1:15">
      <c r="A183" s="20"/>
      <c r="B183" s="50"/>
      <c r="C183" s="50"/>
      <c r="D183" s="50"/>
      <c r="E183" s="50"/>
      <c r="F183" s="50"/>
      <c r="M183" s="20"/>
      <c r="N183" s="44"/>
      <c r="O183" s="44"/>
    </row>
    <row r="184" ht="15.75" customHeight="1" spans="1:15">
      <c r="A184" s="20"/>
      <c r="B184" s="50"/>
      <c r="C184" s="50"/>
      <c r="D184" s="50"/>
      <c r="E184" s="50"/>
      <c r="F184" s="50"/>
      <c r="M184" s="20"/>
      <c r="N184" s="44"/>
      <c r="O184" s="44"/>
    </row>
    <row r="185" ht="15.75" customHeight="1" spans="1:15">
      <c r="A185" s="20"/>
      <c r="B185" s="50"/>
      <c r="C185" s="50"/>
      <c r="D185" s="50"/>
      <c r="E185" s="50"/>
      <c r="F185" s="50"/>
      <c r="M185" s="20"/>
      <c r="N185" s="44"/>
      <c r="O185" s="44"/>
    </row>
    <row r="186" ht="15.75" customHeight="1" spans="1:15">
      <c r="A186" s="20"/>
      <c r="B186" s="50"/>
      <c r="C186" s="50"/>
      <c r="D186" s="50"/>
      <c r="E186" s="50"/>
      <c r="F186" s="50"/>
      <c r="M186" s="20"/>
      <c r="N186" s="44"/>
      <c r="O186" s="44"/>
    </row>
    <row r="187" ht="15.75" customHeight="1" spans="1:15">
      <c r="A187" s="20"/>
      <c r="B187" s="50"/>
      <c r="C187" s="50"/>
      <c r="D187" s="50"/>
      <c r="E187" s="50"/>
      <c r="F187" s="50"/>
      <c r="M187" s="20"/>
      <c r="N187" s="44"/>
      <c r="O187" s="44"/>
    </row>
    <row r="188" ht="15.75" customHeight="1" spans="1:15">
      <c r="A188" s="20"/>
      <c r="B188" s="50"/>
      <c r="C188" s="50"/>
      <c r="D188" s="50"/>
      <c r="E188" s="50"/>
      <c r="F188" s="50"/>
      <c r="M188" s="20"/>
      <c r="N188" s="44"/>
      <c r="O188" s="44"/>
    </row>
    <row r="189" ht="15.75" customHeight="1" spans="1:15">
      <c r="A189" s="20"/>
      <c r="B189" s="50"/>
      <c r="C189" s="50"/>
      <c r="D189" s="50"/>
      <c r="E189" s="50"/>
      <c r="F189" s="50"/>
      <c r="M189" s="20"/>
      <c r="N189" s="44"/>
      <c r="O189" s="44"/>
    </row>
    <row r="190" ht="15.75" customHeight="1" spans="1:15">
      <c r="A190" s="20"/>
      <c r="B190" s="50"/>
      <c r="C190" s="50"/>
      <c r="D190" s="50"/>
      <c r="E190" s="50"/>
      <c r="F190" s="50"/>
      <c r="M190" s="20"/>
      <c r="N190" s="44"/>
      <c r="O190" s="44"/>
    </row>
    <row r="191" ht="15.75" customHeight="1" spans="1:15">
      <c r="A191" s="20"/>
      <c r="B191" s="50"/>
      <c r="C191" s="50"/>
      <c r="D191" s="50"/>
      <c r="E191" s="50"/>
      <c r="F191" s="50"/>
      <c r="M191" s="20"/>
      <c r="N191" s="44"/>
      <c r="O191" s="44"/>
    </row>
    <row r="192" ht="15.75" customHeight="1" spans="1:15">
      <c r="A192" s="20"/>
      <c r="B192" s="50"/>
      <c r="C192" s="50"/>
      <c r="D192" s="50"/>
      <c r="E192" s="50"/>
      <c r="F192" s="50"/>
      <c r="M192" s="20"/>
      <c r="N192" s="44"/>
      <c r="O192" s="44"/>
    </row>
    <row r="193" ht="15.75" customHeight="1" spans="1:15">
      <c r="A193" s="20"/>
      <c r="B193" s="50"/>
      <c r="C193" s="50"/>
      <c r="D193" s="50"/>
      <c r="E193" s="50"/>
      <c r="F193" s="50"/>
      <c r="M193" s="20"/>
      <c r="N193" s="44"/>
      <c r="O193" s="44"/>
    </row>
    <row r="194" ht="15.75" customHeight="1" spans="1:15">
      <c r="A194" s="20"/>
      <c r="B194" s="50"/>
      <c r="C194" s="50"/>
      <c r="D194" s="50"/>
      <c r="E194" s="50"/>
      <c r="F194" s="50"/>
      <c r="M194" s="20"/>
      <c r="N194" s="44"/>
      <c r="O194" s="44"/>
    </row>
    <row r="195" ht="15.75" customHeight="1" spans="1:15">
      <c r="A195" s="20"/>
      <c r="B195" s="50"/>
      <c r="C195" s="50"/>
      <c r="D195" s="50"/>
      <c r="E195" s="50"/>
      <c r="F195" s="50"/>
      <c r="M195" s="20"/>
      <c r="N195" s="44"/>
      <c r="O195" s="44"/>
    </row>
    <row r="196" ht="15.75" customHeight="1" spans="1:15">
      <c r="A196" s="20"/>
      <c r="B196" s="50"/>
      <c r="C196" s="50"/>
      <c r="D196" s="50"/>
      <c r="E196" s="50"/>
      <c r="F196" s="50"/>
      <c r="M196" s="20"/>
      <c r="N196" s="44"/>
      <c r="O196" s="44"/>
    </row>
    <row r="197" ht="15.75" customHeight="1" spans="1:15">
      <c r="A197" s="20"/>
      <c r="B197" s="50"/>
      <c r="C197" s="50"/>
      <c r="D197" s="50"/>
      <c r="E197" s="50"/>
      <c r="F197" s="50"/>
      <c r="M197" s="20"/>
      <c r="N197" s="44"/>
      <c r="O197" s="44"/>
    </row>
    <row r="198" ht="15.75" customHeight="1" spans="1:15">
      <c r="A198" s="20"/>
      <c r="B198" s="50"/>
      <c r="C198" s="50"/>
      <c r="D198" s="50"/>
      <c r="E198" s="50"/>
      <c r="F198" s="50"/>
      <c r="M198" s="20"/>
      <c r="N198" s="44"/>
      <c r="O198" s="44"/>
    </row>
    <row r="199" ht="15.75" customHeight="1" spans="1:15">
      <c r="A199" s="20"/>
      <c r="B199" s="50"/>
      <c r="C199" s="50"/>
      <c r="D199" s="50"/>
      <c r="E199" s="50"/>
      <c r="F199" s="50"/>
      <c r="M199" s="20"/>
      <c r="N199" s="44"/>
      <c r="O199" s="44"/>
    </row>
    <row r="200" ht="15.75" customHeight="1" spans="1:15">
      <c r="A200" s="20"/>
      <c r="B200" s="50"/>
      <c r="C200" s="50"/>
      <c r="D200" s="50"/>
      <c r="E200" s="50"/>
      <c r="F200" s="50"/>
      <c r="M200" s="20"/>
      <c r="N200" s="44"/>
      <c r="O200" s="44"/>
    </row>
    <row r="201" ht="15.75" customHeight="1" spans="1:15">
      <c r="A201" s="20"/>
      <c r="B201" s="50"/>
      <c r="C201" s="50"/>
      <c r="D201" s="50"/>
      <c r="E201" s="50"/>
      <c r="F201" s="50"/>
      <c r="M201" s="20"/>
      <c r="N201" s="44"/>
      <c r="O201" s="44"/>
    </row>
    <row r="202" ht="15.75" customHeight="1" spans="1:15">
      <c r="A202" s="20"/>
      <c r="B202" s="50"/>
      <c r="C202" s="50"/>
      <c r="D202" s="50"/>
      <c r="E202" s="50"/>
      <c r="F202" s="50"/>
      <c r="M202" s="20"/>
      <c r="N202" s="44"/>
      <c r="O202" s="44"/>
    </row>
    <row r="203" ht="15.75" customHeight="1" spans="1:15">
      <c r="A203" s="20"/>
      <c r="B203" s="50"/>
      <c r="C203" s="50"/>
      <c r="D203" s="50"/>
      <c r="E203" s="50"/>
      <c r="F203" s="50"/>
      <c r="M203" s="20"/>
      <c r="N203" s="44"/>
      <c r="O203" s="44"/>
    </row>
    <row r="204" ht="15.75" customHeight="1" spans="1:15">
      <c r="A204" s="20"/>
      <c r="B204" s="50"/>
      <c r="C204" s="50"/>
      <c r="D204" s="50"/>
      <c r="E204" s="50"/>
      <c r="F204" s="50"/>
      <c r="M204" s="20"/>
      <c r="N204" s="44"/>
      <c r="O204" s="44"/>
    </row>
    <row r="205" ht="15.75" customHeight="1" spans="1:15">
      <c r="A205" s="20"/>
      <c r="B205" s="50"/>
      <c r="C205" s="50"/>
      <c r="D205" s="50"/>
      <c r="E205" s="50"/>
      <c r="F205" s="50"/>
      <c r="M205" s="20"/>
      <c r="N205" s="44"/>
      <c r="O205" s="44"/>
    </row>
    <row r="206" ht="15.75" customHeight="1" spans="1:15">
      <c r="A206" s="20"/>
      <c r="B206" s="50"/>
      <c r="C206" s="50"/>
      <c r="D206" s="50"/>
      <c r="E206" s="50"/>
      <c r="F206" s="50"/>
      <c r="M206" s="20"/>
      <c r="N206" s="44"/>
      <c r="O206" s="44"/>
    </row>
    <row r="207" ht="15.75" customHeight="1" spans="1:15">
      <c r="A207" s="20"/>
      <c r="B207" s="50"/>
      <c r="C207" s="50"/>
      <c r="D207" s="50"/>
      <c r="E207" s="50"/>
      <c r="F207" s="50"/>
      <c r="M207" s="20"/>
      <c r="N207" s="44"/>
      <c r="O207" s="44"/>
    </row>
    <row r="208" ht="15.75" customHeight="1" spans="1:15">
      <c r="A208" s="20"/>
      <c r="B208" s="50"/>
      <c r="C208" s="50"/>
      <c r="D208" s="50"/>
      <c r="E208" s="50"/>
      <c r="F208" s="50"/>
      <c r="M208" s="20"/>
      <c r="N208" s="44"/>
      <c r="O208" s="44"/>
    </row>
    <row r="209" ht="15.75" customHeight="1" spans="1:15">
      <c r="A209" s="20"/>
      <c r="B209" s="50"/>
      <c r="C209" s="50"/>
      <c r="D209" s="50"/>
      <c r="E209" s="50"/>
      <c r="F209" s="50"/>
      <c r="M209" s="20"/>
      <c r="N209" s="44"/>
      <c r="O209" s="44"/>
    </row>
    <row r="210" ht="15.75" customHeight="1" spans="1:15">
      <c r="A210" s="20"/>
      <c r="B210" s="50"/>
      <c r="C210" s="50"/>
      <c r="D210" s="50"/>
      <c r="E210" s="50"/>
      <c r="F210" s="50"/>
      <c r="M210" s="20"/>
      <c r="N210" s="44"/>
      <c r="O210" s="44"/>
    </row>
    <row r="211" ht="15.75" customHeight="1" spans="1:15">
      <c r="A211" s="20"/>
      <c r="B211" s="50"/>
      <c r="C211" s="50"/>
      <c r="D211" s="50"/>
      <c r="E211" s="50"/>
      <c r="F211" s="50"/>
      <c r="M211" s="20"/>
      <c r="N211" s="44"/>
      <c r="O211" s="44"/>
    </row>
    <row r="212" ht="15.75" customHeight="1" spans="1:15">
      <c r="A212" s="20"/>
      <c r="B212" s="50"/>
      <c r="C212" s="50"/>
      <c r="D212" s="50"/>
      <c r="E212" s="50"/>
      <c r="F212" s="50"/>
      <c r="M212" s="20"/>
      <c r="N212" s="44"/>
      <c r="O212" s="44"/>
    </row>
    <row r="213" ht="15.75" customHeight="1" spans="1:15">
      <c r="A213" s="20"/>
      <c r="B213" s="50"/>
      <c r="C213" s="50"/>
      <c r="D213" s="50"/>
      <c r="E213" s="50"/>
      <c r="F213" s="50"/>
      <c r="M213" s="20"/>
      <c r="N213" s="44"/>
      <c r="O213" s="44"/>
    </row>
    <row r="214" ht="15.75" customHeight="1" spans="1:15">
      <c r="A214" s="20"/>
      <c r="B214" s="50"/>
      <c r="C214" s="50"/>
      <c r="D214" s="50"/>
      <c r="E214" s="50"/>
      <c r="F214" s="50"/>
      <c r="M214" s="20"/>
      <c r="N214" s="44"/>
      <c r="O214" s="44"/>
    </row>
    <row r="215" ht="15.75" customHeight="1" spans="1:15">
      <c r="A215" s="20"/>
      <c r="B215" s="50"/>
      <c r="C215" s="50"/>
      <c r="D215" s="50"/>
      <c r="E215" s="50"/>
      <c r="F215" s="50"/>
      <c r="M215" s="20"/>
      <c r="N215" s="44"/>
      <c r="O215" s="44"/>
    </row>
    <row r="216" ht="15.75" customHeight="1" spans="1:15">
      <c r="A216" s="20"/>
      <c r="B216" s="50"/>
      <c r="C216" s="50"/>
      <c r="D216" s="50"/>
      <c r="E216" s="50"/>
      <c r="F216" s="50"/>
      <c r="M216" s="20"/>
      <c r="N216" s="44"/>
      <c r="O216" s="44"/>
    </row>
    <row r="217" ht="15.75" customHeight="1" spans="1:15">
      <c r="A217" s="20"/>
      <c r="B217" s="50"/>
      <c r="C217" s="50"/>
      <c r="D217" s="50"/>
      <c r="E217" s="50"/>
      <c r="F217" s="50"/>
      <c r="M217" s="20"/>
      <c r="N217" s="44"/>
      <c r="O217" s="44"/>
    </row>
    <row r="218" ht="15.75" customHeight="1" spans="1:15">
      <c r="A218" s="20"/>
      <c r="B218" s="50"/>
      <c r="C218" s="50"/>
      <c r="D218" s="50"/>
      <c r="E218" s="50"/>
      <c r="F218" s="50"/>
      <c r="M218" s="20"/>
      <c r="N218" s="44"/>
      <c r="O218" s="44"/>
    </row>
    <row r="219" ht="15.75" customHeight="1" spans="1:15">
      <c r="A219" s="20"/>
      <c r="B219" s="50"/>
      <c r="C219" s="50"/>
      <c r="D219" s="50"/>
      <c r="E219" s="50"/>
      <c r="F219" s="50"/>
      <c r="M219" s="20"/>
      <c r="N219" s="44"/>
      <c r="O219" s="44"/>
    </row>
    <row r="220" ht="15.75" customHeight="1" spans="1:15">
      <c r="A220" s="20"/>
      <c r="B220" s="50"/>
      <c r="C220" s="50"/>
      <c r="D220" s="50"/>
      <c r="E220" s="50"/>
      <c r="F220" s="50"/>
      <c r="M220" s="20"/>
      <c r="N220" s="44"/>
      <c r="O220" s="44"/>
    </row>
    <row r="221" ht="15.75" customHeight="1" spans="1:15">
      <c r="A221" s="20"/>
      <c r="B221" s="50"/>
      <c r="C221" s="50"/>
      <c r="D221" s="50"/>
      <c r="E221" s="50"/>
      <c r="F221" s="50"/>
      <c r="M221" s="20"/>
      <c r="N221" s="44"/>
      <c r="O221" s="44"/>
    </row>
    <row r="222" ht="15.75" customHeight="1" spans="1:15">
      <c r="A222" s="20"/>
      <c r="B222" s="50"/>
      <c r="C222" s="50"/>
      <c r="D222" s="50"/>
      <c r="E222" s="50"/>
      <c r="F222" s="50"/>
      <c r="M222" s="20"/>
      <c r="N222" s="44"/>
      <c r="O222" s="44"/>
    </row>
    <row r="223" ht="15.75" customHeight="1" spans="1:15">
      <c r="A223" s="20"/>
      <c r="B223" s="50"/>
      <c r="C223" s="50"/>
      <c r="D223" s="50"/>
      <c r="E223" s="50"/>
      <c r="F223" s="50"/>
      <c r="M223" s="20"/>
      <c r="N223" s="44"/>
      <c r="O223" s="44"/>
    </row>
    <row r="224" ht="15.75" customHeight="1" spans="1:15">
      <c r="A224" s="20"/>
      <c r="B224" s="50"/>
      <c r="C224" s="50"/>
      <c r="D224" s="50"/>
      <c r="E224" s="50"/>
      <c r="F224" s="50"/>
      <c r="M224" s="20"/>
      <c r="N224" s="44"/>
      <c r="O224" s="44"/>
    </row>
    <row r="225" ht="15.75" customHeight="1" spans="1:15">
      <c r="A225" s="20"/>
      <c r="B225" s="50"/>
      <c r="C225" s="50"/>
      <c r="D225" s="50"/>
      <c r="E225" s="50"/>
      <c r="F225" s="50"/>
      <c r="M225" s="20"/>
      <c r="N225" s="44"/>
      <c r="O225" s="44"/>
    </row>
    <row r="226" ht="15.75" customHeight="1" spans="1:15">
      <c r="A226" s="20"/>
      <c r="B226" s="50"/>
      <c r="C226" s="50"/>
      <c r="D226" s="50"/>
      <c r="E226" s="50"/>
      <c r="F226" s="50"/>
      <c r="M226" s="20"/>
      <c r="N226" s="44"/>
      <c r="O226" s="44"/>
    </row>
    <row r="227" ht="15.75" customHeight="1" spans="1:15">
      <c r="A227" s="20"/>
      <c r="B227" s="50"/>
      <c r="C227" s="50"/>
      <c r="D227" s="50"/>
      <c r="E227" s="50"/>
      <c r="F227" s="50"/>
      <c r="M227" s="20"/>
      <c r="N227" s="44"/>
      <c r="O227" s="44"/>
    </row>
    <row r="228" ht="15.75" customHeight="1" spans="1:15">
      <c r="A228" s="20"/>
      <c r="B228" s="50"/>
      <c r="C228" s="50"/>
      <c r="D228" s="50"/>
      <c r="E228" s="50"/>
      <c r="F228" s="50"/>
      <c r="M228" s="20"/>
      <c r="N228" s="44"/>
      <c r="O228" s="44"/>
    </row>
    <row r="229" ht="15.75" customHeight="1" spans="1:15">
      <c r="A229" s="20"/>
      <c r="B229" s="50"/>
      <c r="C229" s="50"/>
      <c r="D229" s="50"/>
      <c r="E229" s="50"/>
      <c r="F229" s="50"/>
      <c r="M229" s="20"/>
      <c r="N229" s="44"/>
      <c r="O229" s="44"/>
    </row>
    <row r="230" ht="15.75" customHeight="1" spans="1:15">
      <c r="A230" s="20"/>
      <c r="B230" s="50"/>
      <c r="C230" s="50"/>
      <c r="D230" s="50"/>
      <c r="E230" s="50"/>
      <c r="F230" s="50"/>
      <c r="M230" s="20"/>
      <c r="N230" s="44"/>
      <c r="O230" s="44"/>
    </row>
    <row r="231" ht="15.75" customHeight="1" spans="1:15">
      <c r="A231" s="20"/>
      <c r="B231" s="50"/>
      <c r="C231" s="50"/>
      <c r="D231" s="50"/>
      <c r="E231" s="50"/>
      <c r="F231" s="50"/>
      <c r="M231" s="20"/>
      <c r="N231" s="44"/>
      <c r="O231" s="44"/>
    </row>
    <row r="232" ht="15.75" customHeight="1" spans="1:15">
      <c r="A232" s="20"/>
      <c r="B232" s="50"/>
      <c r="C232" s="50"/>
      <c r="D232" s="50"/>
      <c r="E232" s="50"/>
      <c r="F232" s="50"/>
      <c r="M232" s="20"/>
      <c r="N232" s="44"/>
      <c r="O232" s="44"/>
    </row>
    <row r="233" ht="15.75" customHeight="1" spans="1:15">
      <c r="A233" s="20"/>
      <c r="B233" s="50"/>
      <c r="C233" s="50"/>
      <c r="D233" s="50"/>
      <c r="E233" s="50"/>
      <c r="F233" s="50"/>
      <c r="M233" s="20"/>
      <c r="N233" s="44"/>
      <c r="O233" s="44"/>
    </row>
    <row r="234" ht="15.75" customHeight="1" spans="1:15">
      <c r="A234" s="20"/>
      <c r="B234" s="50"/>
      <c r="C234" s="50"/>
      <c r="D234" s="50"/>
      <c r="E234" s="50"/>
      <c r="F234" s="50"/>
      <c r="M234" s="20"/>
      <c r="N234" s="44"/>
      <c r="O234" s="44"/>
    </row>
    <row r="235" ht="15.75" customHeight="1" spans="1:15">
      <c r="A235" s="20"/>
      <c r="B235" s="50"/>
      <c r="C235" s="50"/>
      <c r="D235" s="50"/>
      <c r="E235" s="50"/>
      <c r="F235" s="50"/>
      <c r="M235" s="20"/>
      <c r="N235" s="44"/>
      <c r="O235" s="44"/>
    </row>
    <row r="236" ht="15.75" customHeight="1" spans="1:15">
      <c r="A236" s="20"/>
      <c r="B236" s="50"/>
      <c r="C236" s="50"/>
      <c r="D236" s="50"/>
      <c r="E236" s="50"/>
      <c r="F236" s="50"/>
      <c r="M236" s="20"/>
      <c r="N236" s="44"/>
      <c r="O236" s="44"/>
    </row>
    <row r="237" ht="15.75" customHeight="1" spans="1:15">
      <c r="A237" s="20"/>
      <c r="B237" s="50"/>
      <c r="C237" s="50"/>
      <c r="D237" s="50"/>
      <c r="E237" s="50"/>
      <c r="F237" s="50"/>
      <c r="M237" s="20"/>
      <c r="N237" s="44"/>
      <c r="O237" s="44"/>
    </row>
    <row r="238" ht="15.75" customHeight="1" spans="1:15">
      <c r="A238" s="20"/>
      <c r="B238" s="50"/>
      <c r="C238" s="50"/>
      <c r="D238" s="50"/>
      <c r="E238" s="50"/>
      <c r="F238" s="50"/>
      <c r="M238" s="20"/>
      <c r="N238" s="44"/>
      <c r="O238" s="44"/>
    </row>
    <row r="239" ht="15.75" customHeight="1" spans="1:15">
      <c r="A239" s="20"/>
      <c r="B239" s="50"/>
      <c r="C239" s="50"/>
      <c r="D239" s="50"/>
      <c r="E239" s="50"/>
      <c r="F239" s="50"/>
      <c r="M239" s="20"/>
      <c r="N239" s="44"/>
      <c r="O239" s="44"/>
    </row>
    <row r="240" ht="15.75" customHeight="1" spans="1:15">
      <c r="A240" s="20"/>
      <c r="B240" s="50"/>
      <c r="C240" s="50"/>
      <c r="D240" s="50"/>
      <c r="E240" s="50"/>
      <c r="F240" s="50"/>
      <c r="M240" s="20"/>
      <c r="N240" s="44"/>
      <c r="O240" s="44"/>
    </row>
    <row r="241" ht="15.75" customHeight="1" spans="1:15">
      <c r="A241" s="20"/>
      <c r="B241" s="50"/>
      <c r="C241" s="50"/>
      <c r="D241" s="50"/>
      <c r="E241" s="50"/>
      <c r="F241" s="50"/>
      <c r="M241" s="20"/>
      <c r="N241" s="44"/>
      <c r="O241" s="44"/>
    </row>
    <row r="242" ht="15.75" customHeight="1" spans="1:15">
      <c r="A242" s="20"/>
      <c r="B242" s="50"/>
      <c r="C242" s="50"/>
      <c r="D242" s="50"/>
      <c r="E242" s="50"/>
      <c r="F242" s="50"/>
      <c r="M242" s="20"/>
      <c r="N242" s="44"/>
      <c r="O242" s="44"/>
    </row>
    <row r="243" ht="15.75" customHeight="1" spans="1:15">
      <c r="A243" s="20"/>
      <c r="B243" s="50"/>
      <c r="C243" s="50"/>
      <c r="D243" s="50"/>
      <c r="E243" s="50"/>
      <c r="F243" s="50"/>
      <c r="M243" s="20"/>
      <c r="N243" s="44"/>
      <c r="O243" s="44"/>
    </row>
    <row r="244" ht="15.75" customHeight="1" spans="1:15">
      <c r="A244" s="20"/>
      <c r="B244" s="50"/>
      <c r="C244" s="50"/>
      <c r="D244" s="50"/>
      <c r="E244" s="50"/>
      <c r="F244" s="50"/>
      <c r="M244" s="20"/>
      <c r="N244" s="44"/>
      <c r="O244" s="44"/>
    </row>
    <row r="245" ht="15.75" customHeight="1" spans="1:15">
      <c r="A245" s="20"/>
      <c r="B245" s="50"/>
      <c r="C245" s="50"/>
      <c r="D245" s="50"/>
      <c r="E245" s="50"/>
      <c r="F245" s="50"/>
      <c r="M245" s="20"/>
      <c r="N245" s="44"/>
      <c r="O245" s="44"/>
    </row>
    <row r="246" ht="15.75" customHeight="1" spans="1:15">
      <c r="A246" s="20"/>
      <c r="B246" s="50"/>
      <c r="C246" s="50"/>
      <c r="D246" s="50"/>
      <c r="E246" s="50"/>
      <c r="F246" s="50"/>
      <c r="M246" s="20"/>
      <c r="N246" s="44"/>
      <c r="O246" s="44"/>
    </row>
    <row r="247" ht="15.75" customHeight="1" spans="1:15">
      <c r="A247" s="20"/>
      <c r="B247" s="50"/>
      <c r="C247" s="50"/>
      <c r="D247" s="50"/>
      <c r="E247" s="50"/>
      <c r="F247" s="50"/>
      <c r="M247" s="20"/>
      <c r="N247" s="44"/>
      <c r="O247" s="44"/>
    </row>
    <row r="248" ht="15.75" customHeight="1" spans="1:15">
      <c r="A248" s="20"/>
      <c r="B248" s="50"/>
      <c r="C248" s="50"/>
      <c r="D248" s="50"/>
      <c r="E248" s="50"/>
      <c r="F248" s="50"/>
      <c r="M248" s="20"/>
      <c r="N248" s="44"/>
      <c r="O248" s="44"/>
    </row>
    <row r="249" ht="15.75" customHeight="1" spans="1:15">
      <c r="A249" s="20"/>
      <c r="B249" s="50"/>
      <c r="C249" s="50"/>
      <c r="D249" s="50"/>
      <c r="E249" s="50"/>
      <c r="F249" s="50"/>
      <c r="M249" s="20"/>
      <c r="N249" s="44"/>
      <c r="O249" s="44"/>
    </row>
    <row r="250" ht="15.75" customHeight="1" spans="1:15">
      <c r="A250" s="20"/>
      <c r="B250" s="50"/>
      <c r="C250" s="50"/>
      <c r="D250" s="50"/>
      <c r="E250" s="50"/>
      <c r="F250" s="50"/>
      <c r="M250" s="20"/>
      <c r="N250" s="44"/>
      <c r="O250" s="44"/>
    </row>
    <row r="251" ht="15.75" customHeight="1" spans="1:15">
      <c r="A251" s="20"/>
      <c r="B251" s="50"/>
      <c r="C251" s="50"/>
      <c r="D251" s="50"/>
      <c r="E251" s="50"/>
      <c r="F251" s="50"/>
      <c r="M251" s="20"/>
      <c r="N251" s="44"/>
      <c r="O251" s="44"/>
    </row>
    <row r="252" ht="15.75" customHeight="1" spans="1:15">
      <c r="A252" s="20"/>
      <c r="B252" s="50"/>
      <c r="C252" s="50"/>
      <c r="D252" s="50"/>
      <c r="E252" s="50"/>
      <c r="F252" s="50"/>
      <c r="M252" s="20"/>
      <c r="N252" s="44"/>
      <c r="O252" s="44"/>
    </row>
    <row r="253" ht="15.75" customHeight="1" spans="1:15">
      <c r="A253" s="20"/>
      <c r="B253" s="50"/>
      <c r="C253" s="50"/>
      <c r="D253" s="50"/>
      <c r="E253" s="50"/>
      <c r="F253" s="50"/>
      <c r="M253" s="20"/>
      <c r="N253" s="44"/>
      <c r="O253" s="44"/>
    </row>
    <row r="254" ht="15.75" customHeight="1" spans="1:15">
      <c r="A254" s="20"/>
      <c r="B254" s="50"/>
      <c r="C254" s="50"/>
      <c r="D254" s="50"/>
      <c r="E254" s="50"/>
      <c r="F254" s="50"/>
      <c r="M254" s="20"/>
      <c r="N254" s="44"/>
      <c r="O254" s="44"/>
    </row>
    <row r="255" ht="15.75" customHeight="1" spans="1:15">
      <c r="A255" s="20"/>
      <c r="B255" s="50"/>
      <c r="C255" s="50"/>
      <c r="D255" s="50"/>
      <c r="E255" s="50"/>
      <c r="F255" s="50"/>
      <c r="M255" s="20"/>
      <c r="N255" s="44"/>
      <c r="O255" s="44"/>
    </row>
    <row r="256" ht="15.75" customHeight="1" spans="1:15">
      <c r="A256" s="20"/>
      <c r="B256" s="50"/>
      <c r="C256" s="50"/>
      <c r="D256" s="50"/>
      <c r="E256" s="50"/>
      <c r="F256" s="50"/>
      <c r="M256" s="20"/>
      <c r="N256" s="44"/>
      <c r="O256" s="44"/>
    </row>
    <row r="257" ht="15.75" customHeight="1" spans="1:15">
      <c r="A257" s="20"/>
      <c r="B257" s="50"/>
      <c r="C257" s="50"/>
      <c r="D257" s="50"/>
      <c r="E257" s="50"/>
      <c r="F257" s="50"/>
      <c r="M257" s="20"/>
      <c r="N257" s="44"/>
      <c r="O257" s="44"/>
    </row>
    <row r="258" ht="15.75" customHeight="1" spans="1:15">
      <c r="A258" s="20"/>
      <c r="B258" s="50"/>
      <c r="C258" s="50"/>
      <c r="D258" s="50"/>
      <c r="E258" s="50"/>
      <c r="F258" s="50"/>
      <c r="M258" s="20"/>
      <c r="N258" s="44"/>
      <c r="O258" s="44"/>
    </row>
    <row r="259" ht="15.75" customHeight="1" spans="1:15">
      <c r="A259" s="20"/>
      <c r="B259" s="50"/>
      <c r="C259" s="50"/>
      <c r="D259" s="50"/>
      <c r="E259" s="50"/>
      <c r="F259" s="50"/>
      <c r="M259" s="20"/>
      <c r="N259" s="44"/>
      <c r="O259" s="44"/>
    </row>
    <row r="260" ht="15.75" customHeight="1" spans="1:15">
      <c r="A260" s="20"/>
      <c r="B260" s="50"/>
      <c r="C260" s="50"/>
      <c r="D260" s="50"/>
      <c r="E260" s="50"/>
      <c r="F260" s="50"/>
      <c r="M260" s="20"/>
      <c r="N260" s="44"/>
      <c r="O260" s="44"/>
    </row>
    <row r="261" ht="15.75" customHeight="1" spans="1:15">
      <c r="A261" s="20"/>
      <c r="B261" s="50"/>
      <c r="C261" s="50"/>
      <c r="D261" s="50"/>
      <c r="E261" s="50"/>
      <c r="F261" s="50"/>
      <c r="M261" s="20"/>
      <c r="N261" s="44"/>
      <c r="O261" s="44"/>
    </row>
    <row r="262" ht="15.75" customHeight="1" spans="1:15">
      <c r="A262" s="20"/>
      <c r="B262" s="50"/>
      <c r="C262" s="50"/>
      <c r="D262" s="50"/>
      <c r="E262" s="50"/>
      <c r="F262" s="50"/>
      <c r="M262" s="20"/>
      <c r="N262" s="44"/>
      <c r="O262" s="44"/>
    </row>
    <row r="263" ht="15.75" customHeight="1" spans="1:15">
      <c r="A263" s="20"/>
      <c r="B263" s="50"/>
      <c r="C263" s="50"/>
      <c r="D263" s="50"/>
      <c r="E263" s="50"/>
      <c r="F263" s="50"/>
      <c r="M263" s="20"/>
      <c r="N263" s="44"/>
      <c r="O263" s="44"/>
    </row>
    <row r="264" ht="15.75" customHeight="1" spans="1:15">
      <c r="A264" s="20"/>
      <c r="B264" s="50"/>
      <c r="C264" s="50"/>
      <c r="D264" s="50"/>
      <c r="E264" s="50"/>
      <c r="F264" s="50"/>
      <c r="M264" s="20"/>
      <c r="N264" s="44"/>
      <c r="O264" s="44"/>
    </row>
    <row r="265" ht="15.75" customHeight="1" spans="1:15">
      <c r="A265" s="20"/>
      <c r="B265" s="50"/>
      <c r="C265" s="50"/>
      <c r="D265" s="50"/>
      <c r="E265" s="50"/>
      <c r="F265" s="50"/>
      <c r="M265" s="20"/>
      <c r="N265" s="44"/>
      <c r="O265" s="44"/>
    </row>
    <row r="266" ht="15.75" customHeight="1" spans="1:15">
      <c r="A266" s="20"/>
      <c r="B266" s="50"/>
      <c r="C266" s="50"/>
      <c r="D266" s="50"/>
      <c r="E266" s="50"/>
      <c r="F266" s="50"/>
      <c r="M266" s="20"/>
      <c r="N266" s="44"/>
      <c r="O266" s="4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K1:O1000"/>
  <sheetViews>
    <sheetView workbookViewId="0">
      <selection activeCell="A1" sqref="A1"/>
    </sheetView>
  </sheetViews>
  <sheetFormatPr defaultColWidth="14.4285714285714" defaultRowHeight="15" customHeight="1"/>
  <cols>
    <col min="1" max="1" width="44.8571428571429" customWidth="1"/>
    <col min="2" max="6" width="14.4285714285714" customWidth="1"/>
    <col min="11" max="11" width="31.1428571428571" customWidth="1"/>
    <col min="14" max="14" width="29.2857142857143" customWidth="1"/>
  </cols>
  <sheetData>
    <row r="1" ht="15.75" customHeight="1" spans="11:15">
      <c r="K1" s="13"/>
      <c r="L1" s="13" t="s">
        <v>142</v>
      </c>
      <c r="N1" s="31" t="s">
        <v>17</v>
      </c>
      <c r="O1" s="31" t="s">
        <v>11</v>
      </c>
    </row>
    <row r="2" ht="15.75" customHeight="1" spans="11:12">
      <c r="K2" s="13" t="s">
        <v>31</v>
      </c>
      <c r="L2" s="13">
        <v>1</v>
      </c>
    </row>
    <row r="3" ht="15.75" customHeight="1" spans="11:15">
      <c r="K3" s="13" t="s">
        <v>40</v>
      </c>
      <c r="L3" s="13">
        <v>4</v>
      </c>
      <c r="N3" s="32" t="s">
        <v>19</v>
      </c>
      <c r="O3" s="33" t="s">
        <v>143</v>
      </c>
    </row>
    <row r="4" ht="15.75" customHeight="1" spans="11:15">
      <c r="K4" s="13" t="s">
        <v>66</v>
      </c>
      <c r="L4" s="13">
        <v>5</v>
      </c>
      <c r="N4" s="32" t="s">
        <v>24</v>
      </c>
      <c r="O4" s="33">
        <v>2</v>
      </c>
    </row>
    <row r="5" ht="15.75" customHeight="1" spans="11:15">
      <c r="K5" s="13" t="s">
        <v>100</v>
      </c>
      <c r="L5" s="13">
        <v>1</v>
      </c>
      <c r="N5" s="34" t="s">
        <v>26</v>
      </c>
      <c r="O5" s="35">
        <v>21</v>
      </c>
    </row>
    <row r="6" ht="15.75" customHeight="1" spans="11:15">
      <c r="K6" s="13" t="s">
        <v>103</v>
      </c>
      <c r="L6" s="13">
        <v>1</v>
      </c>
      <c r="N6" s="34" t="s">
        <v>27</v>
      </c>
      <c r="O6" s="35">
        <v>2</v>
      </c>
    </row>
    <row r="7" ht="15.75" customHeight="1" spans="11:15">
      <c r="K7" s="13" t="s">
        <v>110</v>
      </c>
      <c r="L7" s="13">
        <v>1</v>
      </c>
      <c r="N7" s="34" t="s">
        <v>28</v>
      </c>
      <c r="O7" s="35">
        <v>6</v>
      </c>
    </row>
    <row r="8" ht="15.75" customHeight="1" spans="11:15">
      <c r="K8" s="13" t="s">
        <v>112</v>
      </c>
      <c r="L8" s="13">
        <v>3</v>
      </c>
      <c r="N8" s="36" t="s">
        <v>29</v>
      </c>
      <c r="O8" s="31">
        <v>31</v>
      </c>
    </row>
    <row r="9" ht="15.75" customHeight="1" spans="11:12">
      <c r="K9" s="13" t="s">
        <v>126</v>
      </c>
      <c r="L9" s="13">
        <v>1</v>
      </c>
    </row>
    <row r="10" ht="15.75" customHeight="1" spans="11:12">
      <c r="K10" s="13" t="s">
        <v>127</v>
      </c>
      <c r="L10" s="13">
        <v>4</v>
      </c>
    </row>
    <row r="11" ht="15.75" customHeight="1" spans="11:12">
      <c r="K11" s="13" t="s">
        <v>132</v>
      </c>
      <c r="L11" s="13">
        <v>6</v>
      </c>
    </row>
    <row r="12" ht="15.75" customHeight="1" spans="11:12">
      <c r="K12" s="13" t="s">
        <v>136</v>
      </c>
      <c r="L12" s="13">
        <v>1</v>
      </c>
    </row>
    <row r="13" ht="15.75" customHeight="1" spans="11:12">
      <c r="K13" s="13" t="s">
        <v>139</v>
      </c>
      <c r="L13" s="13">
        <v>2</v>
      </c>
    </row>
    <row r="14" ht="15.75" customHeight="1" spans="11:12">
      <c r="K14" s="13" t="s">
        <v>141</v>
      </c>
      <c r="L14" s="13">
        <v>1</v>
      </c>
    </row>
    <row r="15" ht="15.75" customHeight="1" spans="11:12">
      <c r="K15" s="13" t="s">
        <v>29</v>
      </c>
      <c r="L15" s="13">
        <v>31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000"/>
  <sheetViews>
    <sheetView workbookViewId="0">
      <pane ySplit="2" topLeftCell="A3" activePane="bottomLeft" state="frozen"/>
      <selection/>
      <selection pane="bottomLeft" activeCell="B4" sqref="B3:B7"/>
    </sheetView>
  </sheetViews>
  <sheetFormatPr defaultColWidth="14.4285714285714" defaultRowHeight="15" customHeight="1"/>
  <cols>
    <col min="1" max="1" width="6.85714285714286" customWidth="1"/>
    <col min="2" max="2" width="14.4285714285714" customWidth="1"/>
    <col min="3" max="3" width="57.2857142857143" customWidth="1"/>
    <col min="4" max="4" width="72.8571428571429" customWidth="1"/>
    <col min="5" max="6" width="14.4285714285714" customWidth="1"/>
  </cols>
  <sheetData>
    <row r="1" ht="15.75" customHeight="1" spans="1:24">
      <c r="A1" s="21" t="s">
        <v>144</v>
      </c>
      <c r="B1" s="22"/>
      <c r="C1" s="22"/>
      <c r="D1" s="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ht="15.75" customHeight="1" spans="1:24">
      <c r="A2" s="23" t="s">
        <v>145</v>
      </c>
      <c r="B2" s="24" t="s">
        <v>146</v>
      </c>
      <c r="C2" s="24" t="s">
        <v>147</v>
      </c>
      <c r="D2" s="24" t="s">
        <v>148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ht="15.75" customHeight="1" spans="1:24">
      <c r="A3" s="25">
        <v>1</v>
      </c>
      <c r="B3" s="26" t="s">
        <v>149</v>
      </c>
      <c r="C3" s="27" t="s">
        <v>150</v>
      </c>
      <c r="D3" s="28" t="s">
        <v>151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ht="15.75" customHeight="1" spans="1:24">
      <c r="A4" s="9"/>
      <c r="B4" s="9"/>
      <c r="C4" s="27" t="s">
        <v>152</v>
      </c>
      <c r="D4" s="28" t="s">
        <v>151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ht="15.75" customHeight="1" spans="1:24">
      <c r="A5" s="9"/>
      <c r="B5" s="9"/>
      <c r="C5" s="27" t="s">
        <v>153</v>
      </c>
      <c r="D5" s="28" t="s">
        <v>151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ht="15.75" customHeight="1" spans="1:24">
      <c r="A6" s="9"/>
      <c r="B6" s="9"/>
      <c r="C6" s="27" t="s">
        <v>154</v>
      </c>
      <c r="D6" s="28" t="s">
        <v>151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ht="15.75" customHeight="1" spans="1:24">
      <c r="A7" s="10"/>
      <c r="B7" s="10"/>
      <c r="C7" s="27" t="s">
        <v>155</v>
      </c>
      <c r="D7" s="28" t="s">
        <v>156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15.75" customHeight="1" spans="1:24">
      <c r="A8" s="25">
        <v>2</v>
      </c>
      <c r="B8" s="26" t="s">
        <v>157</v>
      </c>
      <c r="C8" s="27" t="s">
        <v>158</v>
      </c>
      <c r="D8" s="28" t="s">
        <v>159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ht="15.75" customHeight="1" spans="1:24">
      <c r="A9" s="9"/>
      <c r="B9" s="9"/>
      <c r="C9" s="27" t="s">
        <v>160</v>
      </c>
      <c r="D9" s="28" t="s">
        <v>161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ht="15.75" customHeight="1" spans="1:24">
      <c r="A10" s="9"/>
      <c r="B10" s="9"/>
      <c r="C10" s="27" t="s">
        <v>162</v>
      </c>
      <c r="D10" s="28" t="s">
        <v>163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ht="15.75" customHeight="1" spans="1:24">
      <c r="A11" s="9"/>
      <c r="B11" s="9"/>
      <c r="C11" s="27" t="s">
        <v>164</v>
      </c>
      <c r="D11" s="28" t="s">
        <v>165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15.75" customHeight="1" spans="1:24">
      <c r="A12" s="9"/>
      <c r="B12" s="9"/>
      <c r="C12" s="27" t="s">
        <v>166</v>
      </c>
      <c r="D12" s="28" t="s">
        <v>167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15.75" customHeight="1" spans="1:24">
      <c r="A13" s="9"/>
      <c r="B13" s="9"/>
      <c r="C13" s="27" t="s">
        <v>168</v>
      </c>
      <c r="D13" s="28" t="s">
        <v>156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15.75" customHeight="1" spans="1:24">
      <c r="A14" s="9"/>
      <c r="B14" s="9"/>
      <c r="C14" s="27" t="s">
        <v>169</v>
      </c>
      <c r="D14" s="28" t="s">
        <v>170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15.75" customHeight="1" spans="1:24">
      <c r="A15" s="10"/>
      <c r="B15" s="10"/>
      <c r="C15" s="27" t="s">
        <v>171</v>
      </c>
      <c r="D15" s="28" t="s">
        <v>156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15.75" customHeight="1" spans="1:24">
      <c r="A16" s="25">
        <v>3</v>
      </c>
      <c r="B16" s="26" t="s">
        <v>172</v>
      </c>
      <c r="C16" s="27" t="s">
        <v>173</v>
      </c>
      <c r="D16" s="28" t="s">
        <v>174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15.75" customHeight="1" spans="1:24">
      <c r="A17" s="9"/>
      <c r="B17" s="9"/>
      <c r="C17" s="27" t="s">
        <v>175</v>
      </c>
      <c r="D17" s="28" t="s">
        <v>176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15.75" customHeight="1" spans="1:24">
      <c r="A18" s="10"/>
      <c r="B18" s="10"/>
      <c r="C18" s="27" t="s">
        <v>177</v>
      </c>
      <c r="D18" s="28" t="s">
        <v>178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15.75" customHeight="1" spans="1:24">
      <c r="A19" s="25">
        <v>4</v>
      </c>
      <c r="B19" s="26" t="s">
        <v>179</v>
      </c>
      <c r="C19" s="27" t="s">
        <v>180</v>
      </c>
      <c r="D19" s="28" t="s">
        <v>181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5.75" customHeight="1" spans="1:24">
      <c r="A20" s="9"/>
      <c r="B20" s="9"/>
      <c r="C20" s="27" t="s">
        <v>182</v>
      </c>
      <c r="D20" s="28" t="s">
        <v>183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5.75" customHeight="1" spans="1:24">
      <c r="A21" s="9"/>
      <c r="B21" s="9"/>
      <c r="C21" s="27" t="s">
        <v>184</v>
      </c>
      <c r="D21" s="28" t="s">
        <v>185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5.75" customHeight="1" spans="1:24">
      <c r="A22" s="10"/>
      <c r="B22" s="10"/>
      <c r="C22" s="27" t="s">
        <v>186</v>
      </c>
      <c r="D22" s="28" t="s">
        <v>187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15.75" customHeight="1" spans="1:24">
      <c r="A23" s="25">
        <v>5</v>
      </c>
      <c r="B23" s="26" t="s">
        <v>188</v>
      </c>
      <c r="C23" s="27" t="s">
        <v>189</v>
      </c>
      <c r="D23" s="28" t="s">
        <v>190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15.75" customHeight="1" spans="1:24">
      <c r="A24" s="10"/>
      <c r="B24" s="10"/>
      <c r="C24" s="27" t="s">
        <v>191</v>
      </c>
      <c r="D24" s="28" t="s">
        <v>192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15.75" customHeight="1" spans="1:24">
      <c r="A25" s="12"/>
      <c r="B25" s="12"/>
      <c r="C25" s="12"/>
      <c r="D25" s="2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15.75" customHeight="1" spans="1:24">
      <c r="A26" s="12"/>
      <c r="B26" s="30" t="s">
        <v>193</v>
      </c>
      <c r="C26" s="12"/>
      <c r="D26" s="2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ht="15.75" customHeight="1" spans="1:24">
      <c r="A27" s="12" t="s">
        <v>194</v>
      </c>
      <c r="B27" s="30" t="s">
        <v>195</v>
      </c>
      <c r="C27" s="12"/>
      <c r="D27" s="2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ht="15.75" customHeight="1" spans="1:24">
      <c r="A28" s="12"/>
      <c r="B28" s="12"/>
      <c r="C28" s="12"/>
      <c r="D28" s="2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ht="15.75" customHeight="1" spans="1:24">
      <c r="A29" s="12"/>
      <c r="B29" s="12"/>
      <c r="C29" s="12"/>
      <c r="D29" s="2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ht="15.75" customHeight="1" spans="1:24">
      <c r="A30" s="12"/>
      <c r="B30" s="12"/>
      <c r="C30" s="12"/>
      <c r="D30" s="2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ht="15.75" customHeight="1" spans="1:24">
      <c r="A31" s="12"/>
      <c r="B31" s="30"/>
      <c r="C31" s="12"/>
      <c r="D31" s="2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ht="15.75" customHeight="1" spans="1:24">
      <c r="A32" s="12" t="s">
        <v>196</v>
      </c>
      <c r="B32" s="30" t="s">
        <v>197</v>
      </c>
      <c r="C32" s="12"/>
      <c r="D32" s="2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ht="15.75" customHeight="1" spans="1:24">
      <c r="A33" s="12"/>
      <c r="B33" s="12"/>
      <c r="C33" s="12"/>
      <c r="D33" s="2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ht="15.75" customHeight="1" spans="1:24">
      <c r="A34" s="12"/>
      <c r="B34" s="12"/>
      <c r="C34" s="12"/>
      <c r="D34" s="2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ht="15.75" customHeight="1" spans="1:24">
      <c r="A35" s="12"/>
      <c r="B35" s="12"/>
      <c r="C35" s="12"/>
      <c r="D35" s="2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15.75" customHeight="1" spans="1:24">
      <c r="A36" s="12"/>
      <c r="B36" s="12"/>
      <c r="C36" s="12"/>
      <c r="D36" s="2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15.75" customHeight="1" spans="1:24">
      <c r="A37" s="12" t="s">
        <v>198</v>
      </c>
      <c r="B37" s="30" t="s">
        <v>199</v>
      </c>
      <c r="C37" s="12"/>
      <c r="D37" s="2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5.75" customHeight="1" spans="1:24">
      <c r="A38" s="12"/>
      <c r="B38" s="12"/>
      <c r="C38" s="12"/>
      <c r="D38" s="2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5.75" customHeight="1" spans="1:24">
      <c r="A39" s="12"/>
      <c r="B39" s="12"/>
      <c r="C39" s="12"/>
      <c r="D39" s="2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5.75" customHeight="1" spans="1:24">
      <c r="A40" s="12"/>
      <c r="B40" s="12"/>
      <c r="C40" s="12"/>
      <c r="D40" s="2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5.75" customHeight="1" spans="1:24">
      <c r="A41" s="12"/>
      <c r="B41" s="12"/>
      <c r="C41" s="12"/>
      <c r="D41" s="2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5.75" customHeight="1" spans="1:24">
      <c r="A42" s="12"/>
      <c r="B42" s="12"/>
      <c r="C42" s="12"/>
      <c r="D42" s="2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15.75" customHeight="1" spans="1:24">
      <c r="A43" s="12"/>
      <c r="B43" s="12"/>
      <c r="C43" s="12"/>
      <c r="D43" s="2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5.75" customHeight="1" spans="1:24">
      <c r="A44" s="12"/>
      <c r="B44" s="12"/>
      <c r="C44" s="12"/>
      <c r="D44" s="2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15.75" customHeight="1" spans="1:24">
      <c r="A45" s="12"/>
      <c r="B45" s="12"/>
      <c r="C45" s="12"/>
      <c r="D45" s="2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5.75" customHeight="1" spans="1:24">
      <c r="A46" s="12"/>
      <c r="B46" s="12"/>
      <c r="C46" s="12"/>
      <c r="D46" s="2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15.75" customHeight="1" spans="1:24">
      <c r="A47" s="12"/>
      <c r="B47" s="12"/>
      <c r="C47" s="12"/>
      <c r="D47" s="2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5.75" customHeight="1" spans="1:24">
      <c r="A48" s="12"/>
      <c r="B48" s="12"/>
      <c r="C48" s="12"/>
      <c r="D48" s="2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5.75" customHeight="1" spans="1:24">
      <c r="A49" s="12"/>
      <c r="B49" s="12"/>
      <c r="C49" s="12"/>
      <c r="D49" s="2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5.75" customHeight="1" spans="1:24">
      <c r="A50" s="12"/>
      <c r="B50" s="12"/>
      <c r="C50" s="12"/>
      <c r="D50" s="2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15.75" customHeight="1" spans="1:24">
      <c r="A51" s="12"/>
      <c r="B51" s="12"/>
      <c r="C51" s="12"/>
      <c r="D51" s="2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5.75" customHeight="1" spans="1:24">
      <c r="A52" s="12"/>
      <c r="B52" s="12"/>
      <c r="C52" s="12"/>
      <c r="D52" s="2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15.75" customHeight="1" spans="1:24">
      <c r="A53" s="12"/>
      <c r="B53" s="12"/>
      <c r="C53" s="12"/>
      <c r="D53" s="2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5.75" customHeight="1" spans="1:24">
      <c r="A54" s="12"/>
      <c r="B54" s="12"/>
      <c r="C54" s="12"/>
      <c r="D54" s="2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15.75" customHeight="1" spans="1:24">
      <c r="A55" s="12"/>
      <c r="B55" s="12"/>
      <c r="C55" s="12"/>
      <c r="D55" s="2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5.75" customHeight="1" spans="1:24">
      <c r="A56" s="12"/>
      <c r="B56" s="12"/>
      <c r="C56" s="12"/>
      <c r="D56" s="2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15.75" customHeight="1" spans="1:24">
      <c r="A57" s="12"/>
      <c r="B57" s="12"/>
      <c r="C57" s="12"/>
      <c r="D57" s="2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15.75" customHeight="1" spans="1:24">
      <c r="A58" s="12"/>
      <c r="B58" s="12"/>
      <c r="C58" s="12"/>
      <c r="D58" s="2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15.75" customHeight="1" spans="1:24">
      <c r="A59" s="12"/>
      <c r="B59" s="12"/>
      <c r="C59" s="12"/>
      <c r="D59" s="2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5.75" customHeight="1" spans="1:24">
      <c r="A60" s="12"/>
      <c r="B60" s="12"/>
      <c r="C60" s="12"/>
      <c r="D60" s="2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15.75" customHeight="1" spans="1:24">
      <c r="A61" s="12"/>
      <c r="B61" s="12"/>
      <c r="C61" s="12"/>
      <c r="D61" s="2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15.75" customHeight="1" spans="1:24">
      <c r="A62" s="12"/>
      <c r="B62" s="12"/>
      <c r="C62" s="12"/>
      <c r="D62" s="2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15.75" customHeight="1" spans="1:24">
      <c r="A63" s="12"/>
      <c r="B63" s="12"/>
      <c r="C63" s="12"/>
      <c r="D63" s="2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15.75" customHeight="1" spans="1:24">
      <c r="A64" s="12"/>
      <c r="B64" s="12"/>
      <c r="C64" s="12"/>
      <c r="D64" s="2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15.75" customHeight="1" spans="1:24">
      <c r="A65" s="12"/>
      <c r="B65" s="12"/>
      <c r="C65" s="12"/>
      <c r="D65" s="2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15.75" customHeight="1" spans="1:24">
      <c r="A66" s="12"/>
      <c r="B66" s="12"/>
      <c r="C66" s="12"/>
      <c r="D66" s="2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15.75" customHeight="1" spans="1:24">
      <c r="A67" s="12"/>
      <c r="B67" s="12"/>
      <c r="C67" s="12"/>
      <c r="D67" s="2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ht="15.75" customHeight="1" spans="1:24">
      <c r="A68" s="12"/>
      <c r="B68" s="12"/>
      <c r="C68" s="12"/>
      <c r="D68" s="2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15.75" customHeight="1" spans="1:24">
      <c r="A69" s="12"/>
      <c r="B69" s="12"/>
      <c r="C69" s="12"/>
      <c r="D69" s="2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ht="15.75" customHeight="1" spans="1:24">
      <c r="A70" s="12"/>
      <c r="B70" s="12"/>
      <c r="C70" s="12"/>
      <c r="D70" s="2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ht="15.75" customHeight="1" spans="1:24">
      <c r="A71" s="12"/>
      <c r="B71" s="12"/>
      <c r="C71" s="12"/>
      <c r="D71" s="2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ht="15.75" customHeight="1" spans="1:24">
      <c r="A72" s="12"/>
      <c r="B72" s="12"/>
      <c r="C72" s="12"/>
      <c r="D72" s="2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ht="15.75" customHeight="1" spans="1:24">
      <c r="A73" s="12"/>
      <c r="B73" s="12"/>
      <c r="C73" s="12"/>
      <c r="D73" s="2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ht="15.75" customHeight="1" spans="1:24">
      <c r="A74" s="12"/>
      <c r="B74" s="12"/>
      <c r="C74" s="12"/>
      <c r="D74" s="2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ht="15.75" customHeight="1" spans="1:24">
      <c r="A75" s="12"/>
      <c r="B75" s="12"/>
      <c r="C75" s="12"/>
      <c r="D75" s="2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ht="15.75" customHeight="1" spans="1:24">
      <c r="A76" s="12"/>
      <c r="B76" s="12"/>
      <c r="C76" s="12"/>
      <c r="D76" s="2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ht="15.75" customHeight="1" spans="1:24">
      <c r="A77" s="12"/>
      <c r="B77" s="12"/>
      <c r="C77" s="12"/>
      <c r="D77" s="2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ht="15.75" customHeight="1" spans="1:24">
      <c r="A78" s="12"/>
      <c r="B78" s="12"/>
      <c r="C78" s="12"/>
      <c r="D78" s="2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ht="15.75" customHeight="1" spans="1:24">
      <c r="A79" s="12"/>
      <c r="B79" s="12"/>
      <c r="C79" s="12"/>
      <c r="D79" s="2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ht="15.75" customHeight="1" spans="1:24">
      <c r="A80" s="12"/>
      <c r="B80" s="12"/>
      <c r="C80" s="12"/>
      <c r="D80" s="2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ht="15.75" customHeight="1" spans="1:24">
      <c r="A81" s="12"/>
      <c r="B81" s="12"/>
      <c r="C81" s="12"/>
      <c r="D81" s="2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ht="15.75" customHeight="1" spans="1:24">
      <c r="A82" s="12"/>
      <c r="B82" s="12"/>
      <c r="C82" s="12"/>
      <c r="D82" s="2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ht="15.75" customHeight="1" spans="1:24">
      <c r="A83" s="12"/>
      <c r="B83" s="12"/>
      <c r="C83" s="12"/>
      <c r="D83" s="2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ht="15.75" customHeight="1" spans="1:24">
      <c r="A84" s="12"/>
      <c r="B84" s="12"/>
      <c r="C84" s="12"/>
      <c r="D84" s="2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ht="15.75" customHeight="1" spans="1:24">
      <c r="A85" s="12"/>
      <c r="B85" s="12"/>
      <c r="C85" s="12"/>
      <c r="D85" s="2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ht="15.75" customHeight="1" spans="1:24">
      <c r="A86" s="12"/>
      <c r="B86" s="12"/>
      <c r="C86" s="12"/>
      <c r="D86" s="2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ht="15.75" customHeight="1" spans="1:24">
      <c r="A87" s="12"/>
      <c r="B87" s="12"/>
      <c r="C87" s="12"/>
      <c r="D87" s="2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ht="15.75" customHeight="1" spans="1:24">
      <c r="A88" s="12"/>
      <c r="B88" s="12"/>
      <c r="C88" s="12"/>
      <c r="D88" s="2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ht="15.75" customHeight="1" spans="1:24">
      <c r="A89" s="12"/>
      <c r="B89" s="12"/>
      <c r="C89" s="12"/>
      <c r="D89" s="2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ht="15.75" customHeight="1" spans="1:24">
      <c r="A90" s="12"/>
      <c r="B90" s="12"/>
      <c r="C90" s="12"/>
      <c r="D90" s="2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ht="15.75" customHeight="1" spans="1:24">
      <c r="A91" s="12"/>
      <c r="B91" s="12"/>
      <c r="C91" s="12"/>
      <c r="D91" s="2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ht="15.75" customHeight="1" spans="1:24">
      <c r="A92" s="12"/>
      <c r="B92" s="12"/>
      <c r="C92" s="12"/>
      <c r="D92" s="2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ht="15.75" customHeight="1" spans="1:24">
      <c r="A93" s="12"/>
      <c r="B93" s="12"/>
      <c r="C93" s="12"/>
      <c r="D93" s="2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ht="15.75" customHeight="1" spans="1:24">
      <c r="A94" s="12"/>
      <c r="B94" s="12"/>
      <c r="C94" s="12"/>
      <c r="D94" s="2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ht="15.75" customHeight="1" spans="1:24">
      <c r="A95" s="12"/>
      <c r="B95" s="12"/>
      <c r="C95" s="12"/>
      <c r="D95" s="2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ht="15.75" customHeight="1" spans="1:24">
      <c r="A96" s="12"/>
      <c r="B96" s="12"/>
      <c r="C96" s="12"/>
      <c r="D96" s="2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ht="15.75" customHeight="1" spans="1:24">
      <c r="A97" s="12"/>
      <c r="B97" s="12"/>
      <c r="C97" s="12"/>
      <c r="D97" s="2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ht="15.75" customHeight="1" spans="1:24">
      <c r="A98" s="12"/>
      <c r="B98" s="12"/>
      <c r="C98" s="12"/>
      <c r="D98" s="2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ht="15.75" customHeight="1" spans="1:24">
      <c r="A99" s="12"/>
      <c r="B99" s="12"/>
      <c r="C99" s="12"/>
      <c r="D99" s="2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ht="15.75" customHeight="1" spans="1:24">
      <c r="A100" s="12"/>
      <c r="B100" s="12"/>
      <c r="C100" s="12"/>
      <c r="D100" s="2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ht="15.75" customHeight="1" spans="1:24">
      <c r="A101" s="12"/>
      <c r="B101" s="12"/>
      <c r="C101" s="12"/>
      <c r="D101" s="29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ht="15.75" customHeight="1" spans="1:24">
      <c r="A102" s="12"/>
      <c r="B102" s="12"/>
      <c r="C102" s="12"/>
      <c r="D102" s="29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ht="15.75" customHeight="1" spans="1:24">
      <c r="A103" s="12"/>
      <c r="B103" s="12"/>
      <c r="C103" s="12"/>
      <c r="D103" s="29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ht="15.75" customHeight="1" spans="1:24">
      <c r="A104" s="12"/>
      <c r="B104" s="12"/>
      <c r="C104" s="12"/>
      <c r="D104" s="29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ht="15.75" customHeight="1" spans="1:24">
      <c r="A105" s="12"/>
      <c r="B105" s="12"/>
      <c r="C105" s="12"/>
      <c r="D105" s="29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ht="15.75" customHeight="1" spans="1:24">
      <c r="A106" s="12"/>
      <c r="B106" s="12"/>
      <c r="C106" s="12"/>
      <c r="D106" s="29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ht="15.75" customHeight="1" spans="1:24">
      <c r="A107" s="12"/>
      <c r="B107" s="12"/>
      <c r="C107" s="12"/>
      <c r="D107" s="29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ht="15.75" customHeight="1" spans="1:24">
      <c r="A108" s="12"/>
      <c r="B108" s="12"/>
      <c r="C108" s="12"/>
      <c r="D108" s="29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ht="15.75" customHeight="1" spans="1:24">
      <c r="A109" s="12"/>
      <c r="B109" s="12"/>
      <c r="C109" s="12"/>
      <c r="D109" s="29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ht="15.75" customHeight="1" spans="1:24">
      <c r="A110" s="12"/>
      <c r="B110" s="12"/>
      <c r="C110" s="12"/>
      <c r="D110" s="29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ht="15.75" customHeight="1" spans="1:24">
      <c r="A111" s="12"/>
      <c r="B111" s="12"/>
      <c r="C111" s="12"/>
      <c r="D111" s="29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ht="15.75" customHeight="1" spans="1:24">
      <c r="A112" s="12"/>
      <c r="B112" s="12"/>
      <c r="C112" s="12"/>
      <c r="D112" s="29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ht="15.75" customHeight="1" spans="1:24">
      <c r="A113" s="12"/>
      <c r="B113" s="12"/>
      <c r="C113" s="12"/>
      <c r="D113" s="29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ht="15.75" customHeight="1" spans="1:24">
      <c r="A114" s="12"/>
      <c r="B114" s="12"/>
      <c r="C114" s="12"/>
      <c r="D114" s="29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ht="15.75" customHeight="1" spans="1:24">
      <c r="A115" s="12"/>
      <c r="B115" s="12"/>
      <c r="C115" s="12"/>
      <c r="D115" s="29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ht="15.75" customHeight="1" spans="1:24">
      <c r="A116" s="12"/>
      <c r="B116" s="12"/>
      <c r="C116" s="12"/>
      <c r="D116" s="29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ht="15.75" customHeight="1" spans="1:24">
      <c r="A117" s="12"/>
      <c r="B117" s="12"/>
      <c r="C117" s="12"/>
      <c r="D117" s="29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ht="15.75" customHeight="1" spans="1:24">
      <c r="A118" s="12"/>
      <c r="B118" s="12"/>
      <c r="C118" s="12"/>
      <c r="D118" s="29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ht="15.75" customHeight="1" spans="1:24">
      <c r="A119" s="12"/>
      <c r="B119" s="12"/>
      <c r="C119" s="12"/>
      <c r="D119" s="29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ht="15.75" customHeight="1" spans="1:24">
      <c r="A120" s="12"/>
      <c r="B120" s="12"/>
      <c r="C120" s="12"/>
      <c r="D120" s="29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ht="15.75" customHeight="1" spans="1:24">
      <c r="A121" s="12"/>
      <c r="B121" s="12"/>
      <c r="C121" s="12"/>
      <c r="D121" s="29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ht="15.75" customHeight="1" spans="1:24">
      <c r="A122" s="12"/>
      <c r="B122" s="12"/>
      <c r="C122" s="12"/>
      <c r="D122" s="29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ht="15.75" customHeight="1" spans="1:24">
      <c r="A123" s="12"/>
      <c r="B123" s="12"/>
      <c r="C123" s="12"/>
      <c r="D123" s="29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ht="15.75" customHeight="1" spans="1:24">
      <c r="A124" s="12"/>
      <c r="B124" s="12"/>
      <c r="C124" s="12"/>
      <c r="D124" s="29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ht="15.75" customHeight="1" spans="1:24">
      <c r="A125" s="12"/>
      <c r="B125" s="12"/>
      <c r="C125" s="12"/>
      <c r="D125" s="29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ht="15.75" customHeight="1" spans="1:24">
      <c r="A126" s="12"/>
      <c r="B126" s="12"/>
      <c r="C126" s="12"/>
      <c r="D126" s="29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ht="15.75" customHeight="1" spans="1:24">
      <c r="A127" s="12"/>
      <c r="B127" s="12"/>
      <c r="C127" s="12"/>
      <c r="D127" s="29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ht="15.75" customHeight="1" spans="1:24">
      <c r="A128" s="12"/>
      <c r="B128" s="12"/>
      <c r="C128" s="12"/>
      <c r="D128" s="29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ht="15.75" customHeight="1" spans="1:24">
      <c r="A129" s="12"/>
      <c r="B129" s="12"/>
      <c r="C129" s="12"/>
      <c r="D129" s="29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ht="15.75" customHeight="1" spans="1:24">
      <c r="A130" s="12"/>
      <c r="B130" s="12"/>
      <c r="C130" s="12"/>
      <c r="D130" s="29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ht="15.75" customHeight="1" spans="1:24">
      <c r="A131" s="12"/>
      <c r="B131" s="12"/>
      <c r="C131" s="12"/>
      <c r="D131" s="29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ht="15.75" customHeight="1" spans="1:24">
      <c r="A132" s="12"/>
      <c r="B132" s="12"/>
      <c r="C132" s="12"/>
      <c r="D132" s="29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ht="15.75" customHeight="1" spans="1:24">
      <c r="A133" s="12"/>
      <c r="B133" s="12"/>
      <c r="C133" s="12"/>
      <c r="D133" s="29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ht="15.75" customHeight="1" spans="1:24">
      <c r="A134" s="12"/>
      <c r="B134" s="12"/>
      <c r="C134" s="12"/>
      <c r="D134" s="29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ht="15.75" customHeight="1" spans="1:24">
      <c r="A135" s="12"/>
      <c r="B135" s="12"/>
      <c r="C135" s="12"/>
      <c r="D135" s="29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ht="15.75" customHeight="1" spans="1:24">
      <c r="A136" s="12"/>
      <c r="B136" s="12"/>
      <c r="C136" s="12"/>
      <c r="D136" s="29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ht="15.75" customHeight="1" spans="1:24">
      <c r="A137" s="12"/>
      <c r="B137" s="12"/>
      <c r="C137" s="12"/>
      <c r="D137" s="29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ht="15.75" customHeight="1" spans="1:24">
      <c r="A138" s="12"/>
      <c r="B138" s="12"/>
      <c r="C138" s="12"/>
      <c r="D138" s="29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ht="15.75" customHeight="1" spans="1:24">
      <c r="A139" s="12"/>
      <c r="B139" s="12"/>
      <c r="C139" s="12"/>
      <c r="D139" s="29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ht="15.75" customHeight="1" spans="1:24">
      <c r="A140" s="12"/>
      <c r="B140" s="12"/>
      <c r="C140" s="12"/>
      <c r="D140" s="29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ht="15.75" customHeight="1" spans="1:24">
      <c r="A141" s="12"/>
      <c r="B141" s="12"/>
      <c r="C141" s="12"/>
      <c r="D141" s="29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ht="15.75" customHeight="1" spans="1:24">
      <c r="A142" s="12"/>
      <c r="B142" s="12"/>
      <c r="C142" s="12"/>
      <c r="D142" s="29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ht="15.75" customHeight="1" spans="1:24">
      <c r="A143" s="12"/>
      <c r="B143" s="12"/>
      <c r="C143" s="12"/>
      <c r="D143" s="29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ht="15.75" customHeight="1" spans="1:24">
      <c r="A144" s="12"/>
      <c r="B144" s="12"/>
      <c r="C144" s="12"/>
      <c r="D144" s="29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ht="15.75" customHeight="1" spans="1:24">
      <c r="A145" s="12"/>
      <c r="B145" s="12"/>
      <c r="C145" s="12"/>
      <c r="D145" s="29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ht="15.75" customHeight="1" spans="1:24">
      <c r="A146" s="12"/>
      <c r="B146" s="12"/>
      <c r="C146" s="12"/>
      <c r="D146" s="29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ht="15.75" customHeight="1" spans="1:24">
      <c r="A147" s="12"/>
      <c r="B147" s="12"/>
      <c r="C147" s="12"/>
      <c r="D147" s="29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ht="15.75" customHeight="1" spans="1:24">
      <c r="A148" s="12"/>
      <c r="B148" s="12"/>
      <c r="C148" s="12"/>
      <c r="D148" s="29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ht="15.75" customHeight="1" spans="1:24">
      <c r="A149" s="12"/>
      <c r="B149" s="12"/>
      <c r="C149" s="12"/>
      <c r="D149" s="29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ht="15.75" customHeight="1" spans="1:24">
      <c r="A150" s="12"/>
      <c r="B150" s="12"/>
      <c r="C150" s="12"/>
      <c r="D150" s="29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ht="15.75" customHeight="1" spans="1:24">
      <c r="A151" s="12"/>
      <c r="B151" s="12"/>
      <c r="C151" s="12"/>
      <c r="D151" s="29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ht="15.75" customHeight="1" spans="1:24">
      <c r="A152" s="12"/>
      <c r="B152" s="12"/>
      <c r="C152" s="12"/>
      <c r="D152" s="29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ht="15.75" customHeight="1" spans="1:24">
      <c r="A153" s="12"/>
      <c r="B153" s="12"/>
      <c r="C153" s="12"/>
      <c r="D153" s="29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ht="15.75" customHeight="1" spans="1:24">
      <c r="A154" s="12"/>
      <c r="B154" s="12"/>
      <c r="C154" s="12"/>
      <c r="D154" s="29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ht="15.75" customHeight="1" spans="1:24">
      <c r="A155" s="12"/>
      <c r="B155" s="12"/>
      <c r="C155" s="12"/>
      <c r="D155" s="29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ht="15.75" customHeight="1" spans="1:24">
      <c r="A156" s="12"/>
      <c r="B156" s="12"/>
      <c r="C156" s="12"/>
      <c r="D156" s="29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ht="15.75" customHeight="1" spans="1:24">
      <c r="A157" s="12"/>
      <c r="B157" s="12"/>
      <c r="C157" s="12"/>
      <c r="D157" s="29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ht="15.75" customHeight="1" spans="1:24">
      <c r="A158" s="12"/>
      <c r="B158" s="12"/>
      <c r="C158" s="12"/>
      <c r="D158" s="29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ht="15.75" customHeight="1" spans="1:24">
      <c r="A159" s="12"/>
      <c r="B159" s="12"/>
      <c r="C159" s="12"/>
      <c r="D159" s="29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ht="15.75" customHeight="1" spans="1:24">
      <c r="A160" s="12"/>
      <c r="B160" s="12"/>
      <c r="C160" s="12"/>
      <c r="D160" s="29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ht="15.75" customHeight="1" spans="1:24">
      <c r="A161" s="12"/>
      <c r="B161" s="12"/>
      <c r="C161" s="12"/>
      <c r="D161" s="29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ht="15.75" customHeight="1" spans="1:24">
      <c r="A162" s="12"/>
      <c r="B162" s="12"/>
      <c r="C162" s="12"/>
      <c r="D162" s="29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ht="15.75" customHeight="1" spans="1:24">
      <c r="A163" s="12"/>
      <c r="B163" s="12"/>
      <c r="C163" s="12"/>
      <c r="D163" s="29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ht="15.75" customHeight="1" spans="1:24">
      <c r="A164" s="12"/>
      <c r="B164" s="12"/>
      <c r="C164" s="12"/>
      <c r="D164" s="29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ht="15.75" customHeight="1" spans="1:24">
      <c r="A165" s="12"/>
      <c r="B165" s="12"/>
      <c r="C165" s="12"/>
      <c r="D165" s="29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ht="15.75" customHeight="1" spans="1:24">
      <c r="A166" s="12"/>
      <c r="B166" s="12"/>
      <c r="C166" s="12"/>
      <c r="D166" s="29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ht="15.75" customHeight="1" spans="1:24">
      <c r="A167" s="12"/>
      <c r="B167" s="12"/>
      <c r="C167" s="12"/>
      <c r="D167" s="29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ht="15.75" customHeight="1" spans="1:24">
      <c r="A168" s="12"/>
      <c r="B168" s="12"/>
      <c r="C168" s="12"/>
      <c r="D168" s="29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ht="15.75" customHeight="1" spans="1:24">
      <c r="A169" s="12"/>
      <c r="B169" s="12"/>
      <c r="C169" s="12"/>
      <c r="D169" s="29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ht="15.75" customHeight="1" spans="1:24">
      <c r="A170" s="12"/>
      <c r="B170" s="12"/>
      <c r="C170" s="12"/>
      <c r="D170" s="29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ht="15.75" customHeight="1" spans="1:24">
      <c r="A171" s="12"/>
      <c r="B171" s="12"/>
      <c r="C171" s="12"/>
      <c r="D171" s="29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ht="15.75" customHeight="1" spans="1:24">
      <c r="A172" s="12"/>
      <c r="B172" s="12"/>
      <c r="C172" s="12"/>
      <c r="D172" s="29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ht="15.75" customHeight="1" spans="1:24">
      <c r="A173" s="12"/>
      <c r="B173" s="12"/>
      <c r="C173" s="12"/>
      <c r="D173" s="29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ht="15.75" customHeight="1" spans="1:24">
      <c r="A174" s="12"/>
      <c r="B174" s="12"/>
      <c r="C174" s="12"/>
      <c r="D174" s="29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ht="15.75" customHeight="1" spans="1:24">
      <c r="A175" s="12"/>
      <c r="B175" s="12"/>
      <c r="C175" s="12"/>
      <c r="D175" s="29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ht="15.75" customHeight="1" spans="1:24">
      <c r="A176" s="12"/>
      <c r="B176" s="12"/>
      <c r="C176" s="12"/>
      <c r="D176" s="29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ht="15.75" customHeight="1" spans="1:24">
      <c r="A177" s="12"/>
      <c r="B177" s="12"/>
      <c r="C177" s="12"/>
      <c r="D177" s="29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ht="15.75" customHeight="1" spans="1:24">
      <c r="A178" s="12"/>
      <c r="B178" s="12"/>
      <c r="C178" s="12"/>
      <c r="D178" s="29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ht="15.75" customHeight="1" spans="1:24">
      <c r="A179" s="12"/>
      <c r="B179" s="12"/>
      <c r="C179" s="12"/>
      <c r="D179" s="29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ht="15.75" customHeight="1" spans="1:24">
      <c r="A180" s="12"/>
      <c r="B180" s="12"/>
      <c r="C180" s="12"/>
      <c r="D180" s="29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ht="15.75" customHeight="1" spans="1:24">
      <c r="A181" s="12"/>
      <c r="B181" s="12"/>
      <c r="C181" s="12"/>
      <c r="D181" s="2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ht="15.75" customHeight="1" spans="1:24">
      <c r="A182" s="12"/>
      <c r="B182" s="12"/>
      <c r="C182" s="12"/>
      <c r="D182" s="29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ht="15.75" customHeight="1" spans="1:24">
      <c r="A183" s="12"/>
      <c r="B183" s="12"/>
      <c r="C183" s="12"/>
      <c r="D183" s="29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ht="15.75" customHeight="1" spans="1:24">
      <c r="A184" s="12"/>
      <c r="B184" s="12"/>
      <c r="C184" s="12"/>
      <c r="D184" s="29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ht="15.75" customHeight="1" spans="1:24">
      <c r="A185" s="12"/>
      <c r="B185" s="12"/>
      <c r="C185" s="12"/>
      <c r="D185" s="29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ht="15.75" customHeight="1" spans="1:24">
      <c r="A186" s="12"/>
      <c r="B186" s="12"/>
      <c r="C186" s="12"/>
      <c r="D186" s="29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ht="15.75" customHeight="1" spans="1:24">
      <c r="A187" s="12"/>
      <c r="B187" s="12"/>
      <c r="C187" s="12"/>
      <c r="D187" s="29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15.75" customHeight="1" spans="1:24">
      <c r="A188" s="12"/>
      <c r="B188" s="12"/>
      <c r="C188" s="12"/>
      <c r="D188" s="2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ht="15.75" customHeight="1" spans="1:24">
      <c r="A189" s="12"/>
      <c r="B189" s="12"/>
      <c r="C189" s="12"/>
      <c r="D189" s="29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ht="15.75" customHeight="1" spans="1:24">
      <c r="A190" s="12"/>
      <c r="B190" s="12"/>
      <c r="C190" s="12"/>
      <c r="D190" s="29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ht="15.75" customHeight="1" spans="1:24">
      <c r="A191" s="12"/>
      <c r="B191" s="12"/>
      <c r="C191" s="12"/>
      <c r="D191" s="29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ht="15.75" customHeight="1" spans="1:24">
      <c r="A192" s="12"/>
      <c r="B192" s="12"/>
      <c r="C192" s="12"/>
      <c r="D192" s="29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ht="15.75" customHeight="1" spans="1:24">
      <c r="A193" s="12"/>
      <c r="B193" s="12"/>
      <c r="C193" s="12"/>
      <c r="D193" s="29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ht="15.75" customHeight="1" spans="1:24">
      <c r="A194" s="12"/>
      <c r="B194" s="12"/>
      <c r="C194" s="12"/>
      <c r="D194" s="29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ht="15.75" customHeight="1" spans="1:24">
      <c r="A195" s="12"/>
      <c r="B195" s="12"/>
      <c r="C195" s="12"/>
      <c r="D195" s="2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ht="15.75" customHeight="1" spans="1:24">
      <c r="A196" s="12"/>
      <c r="B196" s="12"/>
      <c r="C196" s="12"/>
      <c r="D196" s="29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ht="15.75" customHeight="1" spans="1:24">
      <c r="A197" s="12"/>
      <c r="B197" s="12"/>
      <c r="C197" s="12"/>
      <c r="D197" s="29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ht="15.75" customHeight="1" spans="1:24">
      <c r="A198" s="12"/>
      <c r="B198" s="12"/>
      <c r="C198" s="12"/>
      <c r="D198" s="29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ht="15.75" customHeight="1" spans="1:24">
      <c r="A199" s="12"/>
      <c r="B199" s="12"/>
      <c r="C199" s="12"/>
      <c r="D199" s="2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ht="15.75" customHeight="1" spans="1:24">
      <c r="A200" s="12"/>
      <c r="B200" s="12"/>
      <c r="C200" s="12"/>
      <c r="D200" s="29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ht="15.75" customHeight="1" spans="1:24">
      <c r="A201" s="12"/>
      <c r="B201" s="12"/>
      <c r="C201" s="12"/>
      <c r="D201" s="29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ht="15.75" customHeight="1" spans="1:24">
      <c r="A202" s="12"/>
      <c r="B202" s="12"/>
      <c r="C202" s="12"/>
      <c r="D202" s="29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ht="15.75" customHeight="1" spans="1:24">
      <c r="A203" s="12"/>
      <c r="B203" s="12"/>
      <c r="C203" s="12"/>
      <c r="D203" s="29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ht="15.75" customHeight="1" spans="1:24">
      <c r="A204" s="12"/>
      <c r="B204" s="12"/>
      <c r="C204" s="12"/>
      <c r="D204" s="29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ht="15.75" customHeight="1" spans="1:24">
      <c r="A205" s="12"/>
      <c r="B205" s="12"/>
      <c r="C205" s="12"/>
      <c r="D205" s="29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ht="15.75" customHeight="1" spans="1:24">
      <c r="A206" s="12"/>
      <c r="B206" s="12"/>
      <c r="C206" s="12"/>
      <c r="D206" s="29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ht="15.75" customHeight="1" spans="1:24">
      <c r="A207" s="12"/>
      <c r="B207" s="12"/>
      <c r="C207" s="12"/>
      <c r="D207" s="29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ht="15.75" customHeight="1" spans="1:24">
      <c r="A208" s="12"/>
      <c r="B208" s="12"/>
      <c r="C208" s="12"/>
      <c r="D208" s="29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ht="15.75" customHeight="1" spans="1:24">
      <c r="A209" s="12"/>
      <c r="B209" s="12"/>
      <c r="C209" s="12"/>
      <c r="D209" s="2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ht="15.75" customHeight="1" spans="1:24">
      <c r="A210" s="12"/>
      <c r="B210" s="12"/>
      <c r="C210" s="12"/>
      <c r="D210" s="29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ht="15.75" customHeight="1" spans="1:24">
      <c r="A211" s="12"/>
      <c r="B211" s="12"/>
      <c r="C211" s="12"/>
      <c r="D211" s="29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ht="15.75" customHeight="1" spans="1:24">
      <c r="A212" s="12"/>
      <c r="B212" s="12"/>
      <c r="C212" s="12"/>
      <c r="D212" s="29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ht="15.75" customHeight="1" spans="1:24">
      <c r="A213" s="12"/>
      <c r="B213" s="12"/>
      <c r="C213" s="12"/>
      <c r="D213" s="29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ht="15.75" customHeight="1" spans="1:24">
      <c r="A214" s="12"/>
      <c r="B214" s="12"/>
      <c r="C214" s="12"/>
      <c r="D214" s="29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ht="15.75" customHeight="1" spans="1:24">
      <c r="A215" s="12"/>
      <c r="B215" s="12"/>
      <c r="C215" s="12"/>
      <c r="D215" s="29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ht="15.75" customHeight="1" spans="1:24">
      <c r="A216" s="12"/>
      <c r="B216" s="12"/>
      <c r="C216" s="12"/>
      <c r="D216" s="29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ht="15.75" customHeight="1" spans="1:24">
      <c r="A217" s="12"/>
      <c r="B217" s="12"/>
      <c r="C217" s="12"/>
      <c r="D217" s="29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15.75" customHeight="1" spans="1:24">
      <c r="A218" s="12"/>
      <c r="B218" s="12"/>
      <c r="C218" s="12"/>
      <c r="D218" s="2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ht="15.75" customHeight="1" spans="1:24">
      <c r="A219" s="12"/>
      <c r="B219" s="12"/>
      <c r="C219" s="12"/>
      <c r="D219" s="29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ht="15.75" customHeight="1" spans="1:24">
      <c r="A220" s="12"/>
      <c r="B220" s="12"/>
      <c r="C220" s="12"/>
      <c r="D220" s="2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ht="15.75" customHeight="1" spans="1:24">
      <c r="A221" s="12"/>
      <c r="B221" s="12"/>
      <c r="C221" s="12"/>
      <c r="D221" s="2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ht="15.75" customHeight="1" spans="1:24">
      <c r="A222" s="12"/>
      <c r="B222" s="12"/>
      <c r="C222" s="12"/>
      <c r="D222" s="2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ht="15.75" customHeight="1" spans="1:24">
      <c r="A223" s="12"/>
      <c r="B223" s="12"/>
      <c r="C223" s="12"/>
      <c r="D223" s="2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ht="15.75" customHeight="1" spans="1:24">
      <c r="A224" s="12"/>
      <c r="B224" s="12"/>
      <c r="C224" s="12"/>
      <c r="D224" s="2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ht="15.75" customHeight="1" spans="1:24">
      <c r="A225" s="12"/>
      <c r="B225" s="12"/>
      <c r="C225" s="12"/>
      <c r="D225" s="2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ht="15.75" customHeight="1" spans="1:24">
      <c r="A226" s="12"/>
      <c r="B226" s="12"/>
      <c r="C226" s="12"/>
      <c r="D226" s="2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ht="15.75" customHeight="1" spans="1:24">
      <c r="A227" s="12"/>
      <c r="B227" s="12"/>
      <c r="C227" s="12"/>
      <c r="D227" s="2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ht="15.75" customHeight="1" spans="1:24">
      <c r="A228" s="12"/>
      <c r="B228" s="12"/>
      <c r="C228" s="12"/>
      <c r="D228" s="2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ht="15.75" customHeight="1" spans="1:24">
      <c r="A229" s="12"/>
      <c r="B229" s="12"/>
      <c r="C229" s="12"/>
      <c r="D229" s="2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ht="15.75" customHeight="1" spans="1:24">
      <c r="A230" s="12"/>
      <c r="B230" s="12"/>
      <c r="C230" s="12"/>
      <c r="D230" s="2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ht="15.75" customHeight="1" spans="1:24">
      <c r="A231" s="12"/>
      <c r="B231" s="12"/>
      <c r="C231" s="12"/>
      <c r="D231" s="2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ht="15.75" customHeight="1" spans="1:24">
      <c r="A232" s="12"/>
      <c r="B232" s="12"/>
      <c r="C232" s="12"/>
      <c r="D232" s="2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ht="15.75" customHeight="1" spans="1:24">
      <c r="A233" s="12"/>
      <c r="B233" s="12"/>
      <c r="C233" s="12"/>
      <c r="D233" s="2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ht="15.75" customHeight="1" spans="1:24">
      <c r="A234" s="12"/>
      <c r="B234" s="12"/>
      <c r="C234" s="12"/>
      <c r="D234" s="2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ht="15.75" customHeight="1" spans="1:24">
      <c r="A235" s="12"/>
      <c r="B235" s="12"/>
      <c r="C235" s="12"/>
      <c r="D235" s="2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ht="15.75" customHeight="1" spans="1:24">
      <c r="A236" s="12"/>
      <c r="B236" s="12"/>
      <c r="C236" s="12"/>
      <c r="D236" s="2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ht="15.75" customHeight="1" spans="1:24">
      <c r="A237" s="12"/>
      <c r="B237" s="12"/>
      <c r="C237" s="12"/>
      <c r="D237" s="2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:D1"/>
    <mergeCell ref="A3:A7"/>
    <mergeCell ref="A8:A15"/>
    <mergeCell ref="A16:A18"/>
    <mergeCell ref="A19:A22"/>
    <mergeCell ref="A23:A24"/>
    <mergeCell ref="B3:B7"/>
    <mergeCell ref="B8:B15"/>
    <mergeCell ref="B16:B18"/>
    <mergeCell ref="B19:B22"/>
    <mergeCell ref="B23:B24"/>
  </mergeCells>
  <pageMargins left="0.7" right="0.7" top="0.75" bottom="0.75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10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14.4285714285714" defaultRowHeight="15" customHeight="1"/>
  <cols>
    <col min="1" max="1" width="21.5714285714286" customWidth="1"/>
    <col min="2" max="2" width="13.5714285714286" customWidth="1"/>
    <col min="3" max="3" width="11.7142857142857" customWidth="1"/>
    <col min="4" max="4" width="14.8571428571429" customWidth="1"/>
    <col min="5" max="5" width="15.5714285714286" customWidth="1"/>
    <col min="6" max="6" width="16" customWidth="1"/>
    <col min="7" max="7" width="17.5714285714286" customWidth="1"/>
    <col min="8" max="8" width="11" customWidth="1"/>
    <col min="9" max="9" width="11.7142857142857" customWidth="1"/>
    <col min="10" max="11" width="10.8571428571429" customWidth="1"/>
    <col min="12" max="12" width="11.8571428571429" customWidth="1"/>
    <col min="13" max="13" width="11.5714285714286" customWidth="1"/>
    <col min="14" max="14" width="16.8571428571429" customWidth="1"/>
    <col min="15" max="15" width="10.5714285714286" customWidth="1"/>
    <col min="16" max="16" width="12" customWidth="1"/>
    <col min="17" max="17" width="11.7142857142857" customWidth="1"/>
    <col min="18" max="18" width="12.4285714285714" customWidth="1"/>
    <col min="19" max="19" width="11" customWidth="1"/>
    <col min="20" max="20" width="20.2857142857143" customWidth="1"/>
    <col min="21" max="21" width="15.7142857142857" customWidth="1"/>
    <col min="22" max="22" width="21.5714285714286" customWidth="1"/>
    <col min="23" max="23" width="32.4285714285714" customWidth="1"/>
    <col min="24" max="24" width="21.5714285714286" customWidth="1"/>
    <col min="25" max="25" width="28.2857142857143" customWidth="1"/>
    <col min="26" max="31" width="21.5714285714286" customWidth="1"/>
  </cols>
  <sheetData>
    <row r="1" ht="38.25" customHeight="1" spans="1:25">
      <c r="A1" s="14" t="s">
        <v>200</v>
      </c>
      <c r="B1" s="15" t="s">
        <v>201</v>
      </c>
      <c r="C1" s="14" t="s">
        <v>202</v>
      </c>
      <c r="D1" s="14" t="s">
        <v>203</v>
      </c>
      <c r="E1" s="14" t="s">
        <v>204</v>
      </c>
      <c r="F1" s="14" t="s">
        <v>205</v>
      </c>
      <c r="G1" s="14" t="s">
        <v>206</v>
      </c>
      <c r="H1" s="14" t="s">
        <v>207</v>
      </c>
      <c r="I1" s="14" t="s">
        <v>208</v>
      </c>
      <c r="J1" s="14" t="s">
        <v>209</v>
      </c>
      <c r="K1" s="14" t="s">
        <v>210</v>
      </c>
      <c r="L1" s="14" t="s">
        <v>211</v>
      </c>
      <c r="M1" s="14" t="s">
        <v>212</v>
      </c>
      <c r="N1" s="14" t="s">
        <v>213</v>
      </c>
      <c r="O1" s="14" t="s">
        <v>214</v>
      </c>
      <c r="P1" s="14" t="s">
        <v>215</v>
      </c>
      <c r="Q1" s="14" t="s">
        <v>216</v>
      </c>
      <c r="R1" s="14" t="s">
        <v>217</v>
      </c>
      <c r="S1" s="14" t="s">
        <v>218</v>
      </c>
      <c r="T1" s="14" t="s">
        <v>219</v>
      </c>
      <c r="U1" s="14" t="s">
        <v>220</v>
      </c>
      <c r="V1" s="14" t="s">
        <v>221</v>
      </c>
      <c r="W1" s="14" t="s">
        <v>222</v>
      </c>
      <c r="X1" s="14" t="s">
        <v>223</v>
      </c>
      <c r="Y1" s="14" t="s">
        <v>224</v>
      </c>
    </row>
    <row r="2" ht="15.75" customHeight="1" spans="1:25">
      <c r="A2" s="16">
        <v>44249.6816614815</v>
      </c>
      <c r="B2" s="17" t="s">
        <v>225</v>
      </c>
      <c r="C2" s="18" t="s">
        <v>226</v>
      </c>
      <c r="D2" s="18" t="s">
        <v>227</v>
      </c>
      <c r="E2" s="97" t="s">
        <v>228</v>
      </c>
      <c r="F2" s="18" t="s">
        <v>229</v>
      </c>
      <c r="G2" s="18" t="s">
        <v>230</v>
      </c>
      <c r="H2" s="18">
        <v>1</v>
      </c>
      <c r="I2" s="18">
        <v>2</v>
      </c>
      <c r="J2" s="18">
        <v>3</v>
      </c>
      <c r="K2" s="18">
        <v>5</v>
      </c>
      <c r="L2" s="18">
        <v>4</v>
      </c>
      <c r="M2" s="18">
        <v>6</v>
      </c>
      <c r="N2" s="18" t="s">
        <v>231</v>
      </c>
      <c r="O2" s="18">
        <v>1</v>
      </c>
      <c r="P2" s="18">
        <v>3</v>
      </c>
      <c r="Q2" s="18">
        <v>2</v>
      </c>
      <c r="R2" s="18">
        <v>4</v>
      </c>
      <c r="S2" s="18">
        <v>5</v>
      </c>
      <c r="T2" s="18" t="s">
        <v>232</v>
      </c>
      <c r="U2" s="18" t="s">
        <v>233</v>
      </c>
      <c r="V2" s="18" t="s">
        <v>234</v>
      </c>
      <c r="W2" s="18"/>
      <c r="X2" s="18"/>
      <c r="Y2" s="18"/>
    </row>
    <row r="3" ht="15.75" customHeight="1" spans="1:25">
      <c r="A3" s="16">
        <v>44249.7110705787</v>
      </c>
      <c r="B3" s="17" t="s">
        <v>235</v>
      </c>
      <c r="C3" s="18" t="s">
        <v>226</v>
      </c>
      <c r="D3" s="18" t="s">
        <v>236</v>
      </c>
      <c r="E3" s="97" t="s">
        <v>237</v>
      </c>
      <c r="F3" s="18" t="s">
        <v>238</v>
      </c>
      <c r="G3" s="18" t="s">
        <v>239</v>
      </c>
      <c r="H3" s="18">
        <v>1</v>
      </c>
      <c r="I3" s="18">
        <v>2</v>
      </c>
      <c r="J3" s="18">
        <v>2</v>
      </c>
      <c r="K3" s="18">
        <v>6</v>
      </c>
      <c r="L3" s="18">
        <v>3</v>
      </c>
      <c r="M3" s="18">
        <v>6</v>
      </c>
      <c r="N3" s="18" t="s">
        <v>231</v>
      </c>
      <c r="O3" s="18">
        <v>1</v>
      </c>
      <c r="P3" s="18">
        <v>2</v>
      </c>
      <c r="Q3" s="18">
        <v>1</v>
      </c>
      <c r="R3" s="18">
        <v>3</v>
      </c>
      <c r="S3" s="18">
        <v>3</v>
      </c>
      <c r="T3" s="18" t="s">
        <v>232</v>
      </c>
      <c r="U3" s="18" t="s">
        <v>240</v>
      </c>
      <c r="V3" s="18" t="s">
        <v>234</v>
      </c>
      <c r="W3" s="18"/>
      <c r="X3" s="18"/>
      <c r="Y3" s="18"/>
    </row>
    <row r="4" ht="15.75" customHeight="1" spans="1:25">
      <c r="A4" s="16">
        <v>44249.7746224768</v>
      </c>
      <c r="B4" s="17" t="s">
        <v>241</v>
      </c>
      <c r="C4" s="18" t="s">
        <v>242</v>
      </c>
      <c r="D4" s="18" t="s">
        <v>243</v>
      </c>
      <c r="E4" s="18" t="s">
        <v>244</v>
      </c>
      <c r="F4" s="18" t="s">
        <v>229</v>
      </c>
      <c r="G4" s="18" t="s">
        <v>245</v>
      </c>
      <c r="H4" s="18">
        <v>4</v>
      </c>
      <c r="I4" s="18">
        <v>3</v>
      </c>
      <c r="J4" s="18">
        <v>6</v>
      </c>
      <c r="K4" s="18">
        <v>6</v>
      </c>
      <c r="L4" s="18">
        <v>6</v>
      </c>
      <c r="M4" s="18">
        <v>6</v>
      </c>
      <c r="N4" s="18" t="s">
        <v>246</v>
      </c>
      <c r="O4" s="18">
        <v>3</v>
      </c>
      <c r="P4" s="18">
        <v>2</v>
      </c>
      <c r="Q4" s="18">
        <v>1</v>
      </c>
      <c r="R4" s="18">
        <v>4</v>
      </c>
      <c r="S4" s="18">
        <v>4</v>
      </c>
      <c r="T4" s="18" t="s">
        <v>247</v>
      </c>
      <c r="U4" s="18" t="s">
        <v>248</v>
      </c>
      <c r="V4" s="18" t="s">
        <v>234</v>
      </c>
      <c r="W4" s="18"/>
      <c r="X4" s="18"/>
      <c r="Y4" s="18"/>
    </row>
    <row r="5" ht="15.75" customHeight="1" spans="1:25">
      <c r="A5" s="16">
        <v>44250.6202993403</v>
      </c>
      <c r="B5" s="17" t="s">
        <v>249</v>
      </c>
      <c r="C5" s="18" t="s">
        <v>226</v>
      </c>
      <c r="D5" s="18" t="s">
        <v>250</v>
      </c>
      <c r="E5" s="97" t="s">
        <v>251</v>
      </c>
      <c r="F5" s="18" t="s">
        <v>252</v>
      </c>
      <c r="G5" s="18" t="s">
        <v>253</v>
      </c>
      <c r="H5" s="18">
        <v>3</v>
      </c>
      <c r="I5" s="18">
        <v>6</v>
      </c>
      <c r="J5" s="18">
        <v>3</v>
      </c>
      <c r="K5" s="18">
        <v>6</v>
      </c>
      <c r="L5" s="18">
        <v>6</v>
      </c>
      <c r="M5" s="18">
        <v>6</v>
      </c>
      <c r="N5" s="18" t="s">
        <v>254</v>
      </c>
      <c r="O5" s="18">
        <v>5</v>
      </c>
      <c r="P5" s="18">
        <v>2</v>
      </c>
      <c r="Q5" s="18">
        <v>2</v>
      </c>
      <c r="R5" s="18">
        <v>5</v>
      </c>
      <c r="S5" s="18">
        <v>5</v>
      </c>
      <c r="T5" s="18" t="s">
        <v>247</v>
      </c>
      <c r="U5" s="18" t="s">
        <v>240</v>
      </c>
      <c r="V5" s="18" t="s">
        <v>255</v>
      </c>
      <c r="W5" s="18"/>
      <c r="X5" s="18"/>
      <c r="Y5" s="18"/>
    </row>
    <row r="6" ht="15.75" customHeight="1" spans="1:25">
      <c r="A6" s="16">
        <v>44250.8393759954</v>
      </c>
      <c r="B6" s="17" t="s">
        <v>256</v>
      </c>
      <c r="C6" s="18" t="s">
        <v>226</v>
      </c>
      <c r="D6" s="18" t="s">
        <v>236</v>
      </c>
      <c r="E6" s="97" t="s">
        <v>257</v>
      </c>
      <c r="F6" s="18" t="s">
        <v>229</v>
      </c>
      <c r="G6" s="18" t="s">
        <v>258</v>
      </c>
      <c r="H6" s="18">
        <v>1</v>
      </c>
      <c r="I6" s="18">
        <v>1</v>
      </c>
      <c r="J6" s="18">
        <v>5</v>
      </c>
      <c r="K6" s="18">
        <v>6</v>
      </c>
      <c r="L6" s="18">
        <v>6</v>
      </c>
      <c r="M6" s="18">
        <v>6</v>
      </c>
      <c r="N6" s="18" t="s">
        <v>231</v>
      </c>
      <c r="O6" s="18">
        <v>1</v>
      </c>
      <c r="P6" s="18">
        <v>5</v>
      </c>
      <c r="Q6" s="18">
        <v>5</v>
      </c>
      <c r="R6" s="18">
        <v>3</v>
      </c>
      <c r="S6" s="18">
        <v>3</v>
      </c>
      <c r="T6" s="18" t="s">
        <v>247</v>
      </c>
      <c r="U6" s="18" t="s">
        <v>259</v>
      </c>
      <c r="V6" s="18" t="s">
        <v>255</v>
      </c>
      <c r="W6" s="18"/>
      <c r="X6" s="18"/>
      <c r="Y6" s="18"/>
    </row>
    <row r="7" ht="15.75" customHeight="1" spans="1:25">
      <c r="A7" s="16">
        <v>44251.4219030556</v>
      </c>
      <c r="B7" s="17" t="s">
        <v>260</v>
      </c>
      <c r="C7" s="18" t="s">
        <v>226</v>
      </c>
      <c r="D7" s="18" t="s">
        <v>261</v>
      </c>
      <c r="E7" s="97" t="s">
        <v>262</v>
      </c>
      <c r="F7" s="18" t="s">
        <v>263</v>
      </c>
      <c r="G7" s="18" t="s">
        <v>230</v>
      </c>
      <c r="H7" s="18">
        <v>1</v>
      </c>
      <c r="I7" s="18">
        <v>1</v>
      </c>
      <c r="J7" s="18">
        <v>3</v>
      </c>
      <c r="K7" s="18">
        <v>3</v>
      </c>
      <c r="L7" s="18">
        <v>3</v>
      </c>
      <c r="M7" s="18">
        <v>3</v>
      </c>
      <c r="N7" s="18" t="s">
        <v>254</v>
      </c>
      <c r="O7" s="18">
        <v>1</v>
      </c>
      <c r="P7" s="18">
        <v>1</v>
      </c>
      <c r="Q7" s="18">
        <v>1</v>
      </c>
      <c r="R7" s="18">
        <v>3</v>
      </c>
      <c r="S7" s="18">
        <v>1</v>
      </c>
      <c r="T7" s="18" t="s">
        <v>247</v>
      </c>
      <c r="U7" s="18" t="s">
        <v>259</v>
      </c>
      <c r="V7" s="18" t="s">
        <v>255</v>
      </c>
      <c r="W7" s="18"/>
      <c r="X7" s="18"/>
      <c r="Y7" s="18"/>
    </row>
    <row r="8" ht="15.75" customHeight="1" spans="1:25">
      <c r="A8" s="16">
        <v>44253.4530631481</v>
      </c>
      <c r="B8" s="17" t="s">
        <v>264</v>
      </c>
      <c r="C8" s="18" t="s">
        <v>226</v>
      </c>
      <c r="D8" s="18" t="s">
        <v>236</v>
      </c>
      <c r="E8" s="97" t="s">
        <v>265</v>
      </c>
      <c r="F8" s="18" t="s">
        <v>266</v>
      </c>
      <c r="G8" s="18" t="s">
        <v>267</v>
      </c>
      <c r="H8" s="18">
        <v>1</v>
      </c>
      <c r="I8" s="18">
        <v>3</v>
      </c>
      <c r="J8" s="18">
        <v>4</v>
      </c>
      <c r="K8" s="18">
        <v>4</v>
      </c>
      <c r="L8" s="18">
        <v>4</v>
      </c>
      <c r="M8" s="18">
        <v>4</v>
      </c>
      <c r="N8" s="18" t="s">
        <v>231</v>
      </c>
      <c r="O8" s="18">
        <v>1</v>
      </c>
      <c r="P8" s="18">
        <v>2</v>
      </c>
      <c r="Q8" s="18">
        <v>2</v>
      </c>
      <c r="R8" s="18">
        <v>3</v>
      </c>
      <c r="S8" s="18">
        <v>4</v>
      </c>
      <c r="T8" s="18" t="s">
        <v>247</v>
      </c>
      <c r="U8" s="18" t="s">
        <v>233</v>
      </c>
      <c r="V8" s="18" t="s">
        <v>255</v>
      </c>
      <c r="W8" s="18" t="s">
        <v>268</v>
      </c>
      <c r="X8" s="18" t="s">
        <v>269</v>
      </c>
      <c r="Y8" s="18" t="s">
        <v>270</v>
      </c>
    </row>
    <row r="9" ht="15.75" customHeight="1" spans="1:25">
      <c r="A9" s="16">
        <v>44254.5445536921</v>
      </c>
      <c r="B9" s="17" t="s">
        <v>271</v>
      </c>
      <c r="C9" s="18" t="s">
        <v>226</v>
      </c>
      <c r="D9" s="18" t="s">
        <v>272</v>
      </c>
      <c r="E9" s="97" t="s">
        <v>273</v>
      </c>
      <c r="F9" s="18" t="s">
        <v>274</v>
      </c>
      <c r="G9" s="18" t="s">
        <v>275</v>
      </c>
      <c r="H9" s="18">
        <v>1</v>
      </c>
      <c r="I9" s="18">
        <v>1</v>
      </c>
      <c r="J9" s="18">
        <v>6</v>
      </c>
      <c r="K9" s="18">
        <v>6</v>
      </c>
      <c r="L9" s="18">
        <v>6</v>
      </c>
      <c r="M9" s="18">
        <v>6</v>
      </c>
      <c r="N9" s="18" t="s">
        <v>231</v>
      </c>
      <c r="O9" s="18">
        <v>1</v>
      </c>
      <c r="P9" s="18">
        <v>5</v>
      </c>
      <c r="Q9" s="18">
        <v>5</v>
      </c>
      <c r="R9" s="18">
        <v>3</v>
      </c>
      <c r="S9" s="18">
        <v>4</v>
      </c>
      <c r="T9" s="18" t="s">
        <v>247</v>
      </c>
      <c r="U9" s="18" t="s">
        <v>233</v>
      </c>
      <c r="V9" s="18" t="s">
        <v>234</v>
      </c>
      <c r="W9" s="18" t="s">
        <v>276</v>
      </c>
      <c r="X9" s="18" t="s">
        <v>269</v>
      </c>
      <c r="Y9" s="18" t="s">
        <v>270</v>
      </c>
    </row>
    <row r="10" ht="15.75" customHeight="1" spans="1:25">
      <c r="A10" s="16">
        <v>44256.2309431481</v>
      </c>
      <c r="B10" s="17" t="s">
        <v>277</v>
      </c>
      <c r="C10" s="18" t="s">
        <v>226</v>
      </c>
      <c r="D10" s="18" t="s">
        <v>278</v>
      </c>
      <c r="E10" s="97" t="s">
        <v>279</v>
      </c>
      <c r="F10" s="18" t="s">
        <v>280</v>
      </c>
      <c r="G10" s="18" t="s">
        <v>281</v>
      </c>
      <c r="H10" s="18">
        <v>1</v>
      </c>
      <c r="I10" s="18">
        <v>1</v>
      </c>
      <c r="J10" s="18">
        <v>3</v>
      </c>
      <c r="K10" s="18">
        <v>6</v>
      </c>
      <c r="L10" s="18">
        <v>4</v>
      </c>
      <c r="M10" s="18">
        <v>6</v>
      </c>
      <c r="N10" s="18" t="s">
        <v>231</v>
      </c>
      <c r="O10" s="18">
        <v>1</v>
      </c>
      <c r="P10" s="18">
        <v>2</v>
      </c>
      <c r="Q10" s="18">
        <v>2</v>
      </c>
      <c r="R10" s="18">
        <v>5</v>
      </c>
      <c r="S10" s="18">
        <v>4</v>
      </c>
      <c r="T10" s="18" t="s">
        <v>247</v>
      </c>
      <c r="U10" s="18" t="s">
        <v>248</v>
      </c>
      <c r="V10" s="18" t="s">
        <v>282</v>
      </c>
      <c r="W10" s="18" t="s">
        <v>283</v>
      </c>
      <c r="X10" s="18" t="s">
        <v>269</v>
      </c>
      <c r="Y10" s="18" t="s">
        <v>284</v>
      </c>
    </row>
    <row r="11" ht="15.75" customHeight="1" spans="1:25">
      <c r="A11" s="16">
        <v>44256.4882922685</v>
      </c>
      <c r="B11" s="17" t="s">
        <v>285</v>
      </c>
      <c r="C11" s="18" t="s">
        <v>226</v>
      </c>
      <c r="D11" s="18" t="s">
        <v>286</v>
      </c>
      <c r="E11" s="97" t="s">
        <v>287</v>
      </c>
      <c r="F11" s="18" t="s">
        <v>229</v>
      </c>
      <c r="G11" s="18" t="s">
        <v>230</v>
      </c>
      <c r="H11" s="18">
        <v>1</v>
      </c>
      <c r="I11" s="18">
        <v>1</v>
      </c>
      <c r="J11" s="18">
        <v>1</v>
      </c>
      <c r="K11" s="18">
        <v>3</v>
      </c>
      <c r="L11" s="18">
        <v>1</v>
      </c>
      <c r="M11" s="18">
        <v>3</v>
      </c>
      <c r="N11" s="18" t="s">
        <v>231</v>
      </c>
      <c r="O11" s="18">
        <v>1</v>
      </c>
      <c r="P11" s="18">
        <v>5</v>
      </c>
      <c r="Q11" s="18">
        <v>1</v>
      </c>
      <c r="R11" s="18">
        <v>3</v>
      </c>
      <c r="S11" s="18">
        <v>3</v>
      </c>
      <c r="T11" s="18" t="s">
        <v>247</v>
      </c>
      <c r="U11" s="18" t="s">
        <v>233</v>
      </c>
      <c r="V11" s="18" t="s">
        <v>234</v>
      </c>
      <c r="W11" s="18" t="s">
        <v>268</v>
      </c>
      <c r="X11" s="18" t="s">
        <v>269</v>
      </c>
      <c r="Y11" s="18" t="s">
        <v>270</v>
      </c>
    </row>
    <row r="12" ht="15.75" customHeight="1" spans="1:25">
      <c r="A12" s="16">
        <v>44256.563150463</v>
      </c>
      <c r="B12" s="17" t="s">
        <v>288</v>
      </c>
      <c r="C12" s="18" t="s">
        <v>226</v>
      </c>
      <c r="D12" s="18" t="s">
        <v>227</v>
      </c>
      <c r="E12" s="97" t="s">
        <v>289</v>
      </c>
      <c r="F12" s="18" t="s">
        <v>229</v>
      </c>
      <c r="G12" s="18" t="s">
        <v>258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8">
        <v>6</v>
      </c>
      <c r="N12" s="18" t="s">
        <v>231</v>
      </c>
      <c r="O12" s="18">
        <v>3</v>
      </c>
      <c r="P12" s="18">
        <v>2</v>
      </c>
      <c r="Q12" s="18">
        <v>2</v>
      </c>
      <c r="R12" s="18">
        <v>3</v>
      </c>
      <c r="S12" s="18">
        <v>2</v>
      </c>
      <c r="T12" s="18" t="s">
        <v>247</v>
      </c>
      <c r="U12" s="18" t="s">
        <v>240</v>
      </c>
      <c r="V12" s="18" t="s">
        <v>234</v>
      </c>
      <c r="W12" s="18" t="s">
        <v>268</v>
      </c>
      <c r="X12" s="18" t="s">
        <v>269</v>
      </c>
      <c r="Y12" s="18" t="s">
        <v>290</v>
      </c>
    </row>
    <row r="13" ht="15.75" customHeight="1" spans="1:25">
      <c r="A13" s="16">
        <v>44256.5877479051</v>
      </c>
      <c r="B13" s="17" t="s">
        <v>291</v>
      </c>
      <c r="C13" s="18" t="s">
        <v>226</v>
      </c>
      <c r="D13" s="18" t="s">
        <v>292</v>
      </c>
      <c r="E13" s="97" t="s">
        <v>293</v>
      </c>
      <c r="F13" s="18" t="s">
        <v>238</v>
      </c>
      <c r="G13" s="18" t="s">
        <v>230</v>
      </c>
      <c r="H13" s="18">
        <v>1</v>
      </c>
      <c r="I13" s="18">
        <v>2</v>
      </c>
      <c r="J13" s="18">
        <v>6</v>
      </c>
      <c r="K13" s="18">
        <v>6</v>
      </c>
      <c r="L13" s="18">
        <v>3</v>
      </c>
      <c r="M13" s="18">
        <v>6</v>
      </c>
      <c r="N13" s="18" t="s">
        <v>231</v>
      </c>
      <c r="O13" s="18">
        <v>1</v>
      </c>
      <c r="P13" s="18">
        <v>3</v>
      </c>
      <c r="Q13" s="18">
        <v>5</v>
      </c>
      <c r="R13" s="18">
        <v>4</v>
      </c>
      <c r="S13" s="18">
        <v>5</v>
      </c>
      <c r="T13" s="18" t="s">
        <v>232</v>
      </c>
      <c r="U13" s="18" t="s">
        <v>259</v>
      </c>
      <c r="V13" s="18" t="s">
        <v>294</v>
      </c>
      <c r="W13" s="18" t="s">
        <v>295</v>
      </c>
      <c r="X13" s="18" t="s">
        <v>296</v>
      </c>
      <c r="Y13" s="18" t="s">
        <v>290</v>
      </c>
    </row>
    <row r="14" ht="15.75" customHeight="1" spans="1:25">
      <c r="A14" s="16">
        <v>44256.7230054398</v>
      </c>
      <c r="B14" s="17" t="s">
        <v>297</v>
      </c>
      <c r="C14" s="18" t="s">
        <v>226</v>
      </c>
      <c r="D14" s="18" t="s">
        <v>272</v>
      </c>
      <c r="E14" s="97" t="s">
        <v>298</v>
      </c>
      <c r="F14" s="18" t="s">
        <v>299</v>
      </c>
      <c r="G14" s="18" t="s">
        <v>300</v>
      </c>
      <c r="H14" s="18">
        <v>5</v>
      </c>
      <c r="I14" s="18">
        <v>5</v>
      </c>
      <c r="J14" s="18">
        <v>5</v>
      </c>
      <c r="K14" s="18">
        <v>1</v>
      </c>
      <c r="L14" s="18">
        <v>5</v>
      </c>
      <c r="M14" s="18">
        <v>1</v>
      </c>
      <c r="N14" s="18" t="s">
        <v>231</v>
      </c>
      <c r="O14" s="18">
        <v>5</v>
      </c>
      <c r="P14" s="18">
        <v>4</v>
      </c>
      <c r="Q14" s="18">
        <v>5</v>
      </c>
      <c r="R14" s="18">
        <v>2</v>
      </c>
      <c r="S14" s="18">
        <v>1</v>
      </c>
      <c r="T14" s="18" t="s">
        <v>232</v>
      </c>
      <c r="U14" s="18" t="s">
        <v>240</v>
      </c>
      <c r="V14" s="18" t="s">
        <v>255</v>
      </c>
      <c r="W14" s="18" t="s">
        <v>301</v>
      </c>
      <c r="X14" s="18" t="s">
        <v>302</v>
      </c>
      <c r="Y14" s="18" t="s">
        <v>290</v>
      </c>
    </row>
    <row r="15" ht="15.75" customHeight="1" spans="1:25">
      <c r="A15" s="16">
        <v>44256.9984326389</v>
      </c>
      <c r="B15" s="17" t="s">
        <v>303</v>
      </c>
      <c r="C15" s="18" t="s">
        <v>226</v>
      </c>
      <c r="D15" s="18" t="s">
        <v>304</v>
      </c>
      <c r="E15" s="97" t="s">
        <v>305</v>
      </c>
      <c r="F15" s="18" t="s">
        <v>274</v>
      </c>
      <c r="G15" s="18" t="s">
        <v>275</v>
      </c>
      <c r="H15" s="18">
        <v>1</v>
      </c>
      <c r="I15" s="18">
        <v>1</v>
      </c>
      <c r="J15" s="18">
        <v>6</v>
      </c>
      <c r="K15" s="18">
        <v>6</v>
      </c>
      <c r="L15" s="18">
        <v>6</v>
      </c>
      <c r="M15" s="18">
        <v>4</v>
      </c>
      <c r="N15" s="18" t="s">
        <v>231</v>
      </c>
      <c r="O15" s="18">
        <v>5</v>
      </c>
      <c r="P15" s="18">
        <v>5</v>
      </c>
      <c r="Q15" s="18">
        <v>5</v>
      </c>
      <c r="R15" s="18">
        <v>5</v>
      </c>
      <c r="S15" s="18">
        <v>3</v>
      </c>
      <c r="T15" s="18" t="s">
        <v>306</v>
      </c>
      <c r="U15" s="18" t="s">
        <v>240</v>
      </c>
      <c r="V15" s="18" t="s">
        <v>255</v>
      </c>
      <c r="W15" s="18" t="s">
        <v>307</v>
      </c>
      <c r="X15" s="18" t="s">
        <v>302</v>
      </c>
      <c r="Y15" s="18" t="s">
        <v>270</v>
      </c>
    </row>
    <row r="16" ht="15.75" customHeight="1" spans="1:25">
      <c r="A16" s="16">
        <v>44257.4389383912</v>
      </c>
      <c r="B16" s="17" t="s">
        <v>303</v>
      </c>
      <c r="C16" s="18" t="s">
        <v>226</v>
      </c>
      <c r="D16" s="18" t="s">
        <v>304</v>
      </c>
      <c r="E16" s="97" t="s">
        <v>305</v>
      </c>
      <c r="F16" s="18" t="s">
        <v>274</v>
      </c>
      <c r="G16" s="18" t="s">
        <v>275</v>
      </c>
      <c r="H16" s="18">
        <v>1</v>
      </c>
      <c r="I16" s="18">
        <v>1</v>
      </c>
      <c r="J16" s="18">
        <v>6</v>
      </c>
      <c r="K16" s="18">
        <v>6</v>
      </c>
      <c r="L16" s="18">
        <v>6</v>
      </c>
      <c r="M16" s="18">
        <v>4</v>
      </c>
      <c r="N16" s="18" t="s">
        <v>231</v>
      </c>
      <c r="O16" s="18">
        <v>5</v>
      </c>
      <c r="P16" s="18">
        <v>5</v>
      </c>
      <c r="Q16" s="18">
        <v>5</v>
      </c>
      <c r="R16" s="18">
        <v>5</v>
      </c>
      <c r="S16" s="18">
        <v>3</v>
      </c>
      <c r="T16" s="18" t="s">
        <v>306</v>
      </c>
      <c r="U16" s="18" t="s">
        <v>240</v>
      </c>
      <c r="V16" s="18" t="s">
        <v>255</v>
      </c>
      <c r="W16" s="18" t="s">
        <v>307</v>
      </c>
      <c r="X16" s="18" t="s">
        <v>302</v>
      </c>
      <c r="Y16" s="18" t="s">
        <v>270</v>
      </c>
    </row>
    <row r="17" ht="15.75" customHeight="1" spans="1:25">
      <c r="A17" s="16">
        <v>44257.4619884607</v>
      </c>
      <c r="B17" s="17" t="s">
        <v>308</v>
      </c>
      <c r="C17" s="18" t="s">
        <v>226</v>
      </c>
      <c r="D17" s="18" t="s">
        <v>304</v>
      </c>
      <c r="E17" s="97" t="s">
        <v>309</v>
      </c>
      <c r="F17" s="18" t="s">
        <v>229</v>
      </c>
      <c r="G17" s="18" t="s">
        <v>230</v>
      </c>
      <c r="H17" s="18">
        <v>1</v>
      </c>
      <c r="I17" s="18">
        <v>1</v>
      </c>
      <c r="J17" s="18">
        <v>5</v>
      </c>
      <c r="K17" s="18">
        <v>5</v>
      </c>
      <c r="L17" s="18">
        <v>3</v>
      </c>
      <c r="M17" s="18">
        <v>6</v>
      </c>
      <c r="N17" s="18" t="s">
        <v>231</v>
      </c>
      <c r="O17" s="18">
        <v>2</v>
      </c>
      <c r="P17" s="18">
        <v>3</v>
      </c>
      <c r="Q17" s="18">
        <v>3</v>
      </c>
      <c r="R17" s="18">
        <v>4</v>
      </c>
      <c r="S17" s="18">
        <v>4</v>
      </c>
      <c r="T17" s="18" t="s">
        <v>247</v>
      </c>
      <c r="U17" s="18" t="s">
        <v>240</v>
      </c>
      <c r="V17" s="18" t="s">
        <v>234</v>
      </c>
      <c r="W17" s="18" t="s">
        <v>310</v>
      </c>
      <c r="X17" s="18" t="s">
        <v>269</v>
      </c>
      <c r="Y17" s="18" t="s">
        <v>311</v>
      </c>
    </row>
    <row r="18" ht="15.75" customHeight="1" spans="1:25">
      <c r="A18" s="16">
        <v>44257.4792393403</v>
      </c>
      <c r="B18" s="17" t="s">
        <v>312</v>
      </c>
      <c r="C18" s="18" t="s">
        <v>226</v>
      </c>
      <c r="D18" s="18" t="s">
        <v>272</v>
      </c>
      <c r="E18" s="97" t="s">
        <v>313</v>
      </c>
      <c r="F18" s="18" t="s">
        <v>238</v>
      </c>
      <c r="G18" s="18" t="s">
        <v>275</v>
      </c>
      <c r="H18" s="18">
        <v>4</v>
      </c>
      <c r="I18" s="18">
        <v>4</v>
      </c>
      <c r="J18" s="18">
        <v>1</v>
      </c>
      <c r="K18" s="18">
        <v>5</v>
      </c>
      <c r="L18" s="18">
        <v>5</v>
      </c>
      <c r="M18" s="18">
        <v>5</v>
      </c>
      <c r="N18" s="18" t="s">
        <v>254</v>
      </c>
      <c r="O18" s="18">
        <v>4</v>
      </c>
      <c r="P18" s="18">
        <v>1</v>
      </c>
      <c r="Q18" s="18">
        <v>2</v>
      </c>
      <c r="R18" s="18">
        <v>3</v>
      </c>
      <c r="S18" s="18">
        <v>3</v>
      </c>
      <c r="T18" s="18" t="s">
        <v>247</v>
      </c>
      <c r="U18" s="18" t="s">
        <v>240</v>
      </c>
      <c r="V18" s="18" t="s">
        <v>234</v>
      </c>
      <c r="W18" s="18" t="s">
        <v>314</v>
      </c>
      <c r="X18" s="18" t="s">
        <v>296</v>
      </c>
      <c r="Y18" s="18" t="s">
        <v>315</v>
      </c>
    </row>
    <row r="19" ht="15.75" customHeight="1" spans="1:25">
      <c r="A19" s="16">
        <v>44257.5602016898</v>
      </c>
      <c r="B19" s="17" t="s">
        <v>303</v>
      </c>
      <c r="C19" s="18" t="s">
        <v>226</v>
      </c>
      <c r="D19" s="18" t="s">
        <v>304</v>
      </c>
      <c r="E19" s="97" t="s">
        <v>305</v>
      </c>
      <c r="F19" s="18" t="s">
        <v>274</v>
      </c>
      <c r="G19" s="18" t="s">
        <v>275</v>
      </c>
      <c r="H19" s="18">
        <v>1</v>
      </c>
      <c r="I19" s="18">
        <v>1</v>
      </c>
      <c r="J19" s="18">
        <v>6</v>
      </c>
      <c r="K19" s="18">
        <v>6</v>
      </c>
      <c r="L19" s="18">
        <v>6</v>
      </c>
      <c r="M19" s="18">
        <v>4</v>
      </c>
      <c r="N19" s="18" t="s">
        <v>231</v>
      </c>
      <c r="O19" s="18">
        <v>5</v>
      </c>
      <c r="P19" s="18">
        <v>5</v>
      </c>
      <c r="Q19" s="18">
        <v>5</v>
      </c>
      <c r="R19" s="18">
        <v>5</v>
      </c>
      <c r="S19" s="18">
        <v>3</v>
      </c>
      <c r="T19" s="18" t="s">
        <v>306</v>
      </c>
      <c r="U19" s="18" t="s">
        <v>240</v>
      </c>
      <c r="V19" s="18" t="s">
        <v>255</v>
      </c>
      <c r="W19" s="18" t="s">
        <v>307</v>
      </c>
      <c r="X19" s="18" t="s">
        <v>302</v>
      </c>
      <c r="Y19" s="18" t="s">
        <v>270</v>
      </c>
    </row>
    <row r="20" ht="15.75" customHeight="1" spans="1:25">
      <c r="A20" s="16">
        <v>44257.5972328009</v>
      </c>
      <c r="B20" s="17" t="s">
        <v>316</v>
      </c>
      <c r="C20" s="18" t="s">
        <v>226</v>
      </c>
      <c r="D20" s="18" t="s">
        <v>317</v>
      </c>
      <c r="E20" s="97" t="s">
        <v>318</v>
      </c>
      <c r="F20" s="18" t="s">
        <v>238</v>
      </c>
      <c r="G20" s="18" t="s">
        <v>230</v>
      </c>
      <c r="H20" s="18">
        <v>5</v>
      </c>
      <c r="I20" s="18">
        <v>6</v>
      </c>
      <c r="J20" s="18">
        <v>3</v>
      </c>
      <c r="K20" s="18">
        <v>2</v>
      </c>
      <c r="L20" s="18">
        <v>3</v>
      </c>
      <c r="M20" s="18">
        <v>1</v>
      </c>
      <c r="N20" s="18" t="s">
        <v>231</v>
      </c>
      <c r="O20" s="18">
        <v>5</v>
      </c>
      <c r="P20" s="18">
        <v>4</v>
      </c>
      <c r="Q20" s="18">
        <v>3</v>
      </c>
      <c r="R20" s="18">
        <v>2</v>
      </c>
      <c r="S20" s="18">
        <v>2</v>
      </c>
      <c r="T20" s="18" t="s">
        <v>247</v>
      </c>
      <c r="U20" s="18" t="s">
        <v>259</v>
      </c>
      <c r="V20" s="18" t="s">
        <v>234</v>
      </c>
      <c r="W20" s="18" t="s">
        <v>319</v>
      </c>
      <c r="X20" s="18" t="s">
        <v>269</v>
      </c>
      <c r="Y20" s="18" t="s">
        <v>320</v>
      </c>
    </row>
    <row r="21" ht="15.75" customHeight="1" spans="1:25">
      <c r="A21" s="16">
        <v>44257.6975112153</v>
      </c>
      <c r="B21" s="17" t="s">
        <v>321</v>
      </c>
      <c r="C21" s="18" t="s">
        <v>226</v>
      </c>
      <c r="D21" s="18" t="s">
        <v>227</v>
      </c>
      <c r="E21" s="97" t="s">
        <v>322</v>
      </c>
      <c r="F21" s="18" t="s">
        <v>323</v>
      </c>
      <c r="G21" s="18" t="s">
        <v>230</v>
      </c>
      <c r="H21" s="18">
        <v>1</v>
      </c>
      <c r="I21" s="18">
        <v>1</v>
      </c>
      <c r="J21" s="18">
        <v>1</v>
      </c>
      <c r="K21" s="18">
        <v>3</v>
      </c>
      <c r="L21" s="18">
        <v>1</v>
      </c>
      <c r="M21" s="18">
        <v>6</v>
      </c>
      <c r="N21" s="18" t="s">
        <v>231</v>
      </c>
      <c r="O21" s="18">
        <v>3</v>
      </c>
      <c r="P21" s="18">
        <v>2</v>
      </c>
      <c r="Q21" s="18">
        <v>1</v>
      </c>
      <c r="R21" s="18">
        <v>4</v>
      </c>
      <c r="S21" s="18">
        <v>5</v>
      </c>
      <c r="T21" s="18" t="s">
        <v>247</v>
      </c>
      <c r="U21" s="18" t="s">
        <v>259</v>
      </c>
      <c r="V21" s="18" t="s">
        <v>234</v>
      </c>
      <c r="W21" s="18" t="s">
        <v>319</v>
      </c>
      <c r="X21" s="18" t="s">
        <v>269</v>
      </c>
      <c r="Y21" s="18" t="s">
        <v>324</v>
      </c>
    </row>
    <row r="22" ht="15.75" customHeight="1" spans="1:25">
      <c r="A22" s="16">
        <v>44257.9322249653</v>
      </c>
      <c r="B22" s="17" t="s">
        <v>325</v>
      </c>
      <c r="C22" s="18" t="s">
        <v>226</v>
      </c>
      <c r="D22" s="18" t="s">
        <v>227</v>
      </c>
      <c r="E22" s="97" t="s">
        <v>326</v>
      </c>
      <c r="F22" s="18" t="s">
        <v>327</v>
      </c>
      <c r="G22" s="18" t="s">
        <v>328</v>
      </c>
      <c r="H22" s="18">
        <v>4</v>
      </c>
      <c r="I22" s="18">
        <v>3</v>
      </c>
      <c r="J22" s="18">
        <v>2</v>
      </c>
      <c r="K22" s="18">
        <v>1</v>
      </c>
      <c r="L22" s="18">
        <v>3</v>
      </c>
      <c r="M22" s="18">
        <v>2</v>
      </c>
      <c r="N22" s="18" t="s">
        <v>329</v>
      </c>
      <c r="O22" s="18">
        <v>4</v>
      </c>
      <c r="P22" s="18">
        <v>3</v>
      </c>
      <c r="Q22" s="18">
        <v>3</v>
      </c>
      <c r="R22" s="18">
        <v>2</v>
      </c>
      <c r="S22" s="18">
        <v>1</v>
      </c>
      <c r="T22" s="18" t="s">
        <v>232</v>
      </c>
      <c r="U22" s="18" t="s">
        <v>259</v>
      </c>
      <c r="V22" s="18" t="s">
        <v>294</v>
      </c>
      <c r="W22" s="18" t="s">
        <v>276</v>
      </c>
      <c r="X22" s="18" t="s">
        <v>302</v>
      </c>
      <c r="Y22" s="18" t="s">
        <v>330</v>
      </c>
    </row>
    <row r="23" ht="15.75" customHeight="1" spans="1:25">
      <c r="A23" s="16">
        <v>44258.3056398264</v>
      </c>
      <c r="B23" s="17" t="s">
        <v>331</v>
      </c>
      <c r="C23" s="18" t="s">
        <v>226</v>
      </c>
      <c r="D23" s="18" t="s">
        <v>332</v>
      </c>
      <c r="E23" s="97" t="s">
        <v>333</v>
      </c>
      <c r="F23" s="18" t="s">
        <v>229</v>
      </c>
      <c r="G23" s="18" t="s">
        <v>239</v>
      </c>
      <c r="H23" s="18">
        <v>1</v>
      </c>
      <c r="I23" s="18">
        <v>2</v>
      </c>
      <c r="J23" s="18">
        <v>3</v>
      </c>
      <c r="K23" s="18">
        <v>6</v>
      </c>
      <c r="L23" s="18">
        <v>5</v>
      </c>
      <c r="M23" s="18">
        <v>4</v>
      </c>
      <c r="N23" s="18" t="s">
        <v>231</v>
      </c>
      <c r="O23" s="18">
        <v>2</v>
      </c>
      <c r="P23" s="18">
        <v>3</v>
      </c>
      <c r="Q23" s="18">
        <v>1</v>
      </c>
      <c r="R23" s="18">
        <v>4</v>
      </c>
      <c r="S23" s="18">
        <v>5</v>
      </c>
      <c r="T23" s="18" t="s">
        <v>232</v>
      </c>
      <c r="U23" s="18" t="s">
        <v>233</v>
      </c>
      <c r="V23" s="18" t="s">
        <v>234</v>
      </c>
      <c r="W23" s="18" t="s">
        <v>334</v>
      </c>
      <c r="X23" s="18" t="s">
        <v>269</v>
      </c>
      <c r="Y23" s="18" t="s">
        <v>290</v>
      </c>
    </row>
    <row r="24" ht="15.75" customHeight="1" spans="1:25">
      <c r="A24" s="16">
        <v>44258.6664117708</v>
      </c>
      <c r="B24" s="17" t="s">
        <v>335</v>
      </c>
      <c r="C24" s="18" t="s">
        <v>226</v>
      </c>
      <c r="D24" s="18" t="s">
        <v>227</v>
      </c>
      <c r="E24" s="18" t="s">
        <v>336</v>
      </c>
      <c r="F24" s="18" t="s">
        <v>229</v>
      </c>
      <c r="G24" s="18" t="s">
        <v>230</v>
      </c>
      <c r="H24" s="18">
        <v>1</v>
      </c>
      <c r="I24" s="18">
        <v>1</v>
      </c>
      <c r="J24" s="18">
        <v>2</v>
      </c>
      <c r="K24" s="18">
        <v>3</v>
      </c>
      <c r="L24" s="18">
        <v>3</v>
      </c>
      <c r="M24" s="18">
        <v>3</v>
      </c>
      <c r="N24" s="18" t="s">
        <v>231</v>
      </c>
      <c r="O24" s="18">
        <v>1</v>
      </c>
      <c r="P24" s="18">
        <v>2</v>
      </c>
      <c r="Q24" s="18">
        <v>3</v>
      </c>
      <c r="R24" s="18">
        <v>1</v>
      </c>
      <c r="S24" s="18">
        <v>4</v>
      </c>
      <c r="T24" s="18" t="s">
        <v>247</v>
      </c>
      <c r="U24" s="18" t="s">
        <v>233</v>
      </c>
      <c r="V24" s="18" t="s">
        <v>234</v>
      </c>
      <c r="W24" s="18" t="s">
        <v>276</v>
      </c>
      <c r="X24" s="18" t="s">
        <v>269</v>
      </c>
      <c r="Y24" s="18" t="s">
        <v>337</v>
      </c>
    </row>
    <row r="25" ht="15.75" customHeight="1" spans="1:25">
      <c r="A25" s="16">
        <v>44258.6888853588</v>
      </c>
      <c r="B25" s="17" t="s">
        <v>338</v>
      </c>
      <c r="C25" s="18" t="s">
        <v>226</v>
      </c>
      <c r="D25" s="18" t="s">
        <v>304</v>
      </c>
      <c r="E25" s="97" t="s">
        <v>339</v>
      </c>
      <c r="F25" s="18" t="s">
        <v>238</v>
      </c>
      <c r="G25" s="18" t="s">
        <v>253</v>
      </c>
      <c r="H25" s="18">
        <v>1</v>
      </c>
      <c r="I25" s="18">
        <v>1</v>
      </c>
      <c r="J25" s="18">
        <v>1</v>
      </c>
      <c r="K25" s="18">
        <v>1</v>
      </c>
      <c r="L25" s="18">
        <v>1</v>
      </c>
      <c r="M25" s="18">
        <v>1</v>
      </c>
      <c r="N25" s="18" t="s">
        <v>231</v>
      </c>
      <c r="O25" s="18">
        <v>1</v>
      </c>
      <c r="P25" s="18">
        <v>1</v>
      </c>
      <c r="Q25" s="18">
        <v>1</v>
      </c>
      <c r="R25" s="18">
        <v>3</v>
      </c>
      <c r="S25" s="18">
        <v>3</v>
      </c>
      <c r="T25" s="18" t="s">
        <v>247</v>
      </c>
      <c r="U25" s="18" t="s">
        <v>248</v>
      </c>
      <c r="V25" s="18" t="s">
        <v>234</v>
      </c>
      <c r="W25" s="18" t="s">
        <v>276</v>
      </c>
      <c r="X25" s="18" t="s">
        <v>269</v>
      </c>
      <c r="Y25" s="18" t="s">
        <v>270</v>
      </c>
    </row>
    <row r="26" ht="15.75" customHeight="1" spans="1:25">
      <c r="A26" s="16">
        <v>44259.2561026042</v>
      </c>
      <c r="B26" s="17" t="s">
        <v>340</v>
      </c>
      <c r="C26" s="18" t="s">
        <v>226</v>
      </c>
      <c r="D26" s="18" t="s">
        <v>332</v>
      </c>
      <c r="E26" s="97" t="s">
        <v>341</v>
      </c>
      <c r="F26" s="18" t="s">
        <v>229</v>
      </c>
      <c r="G26" s="18" t="s">
        <v>342</v>
      </c>
      <c r="H26" s="18">
        <v>1</v>
      </c>
      <c r="I26" s="18">
        <v>2</v>
      </c>
      <c r="J26" s="18">
        <v>3</v>
      </c>
      <c r="K26" s="18">
        <v>4</v>
      </c>
      <c r="L26" s="18">
        <v>5</v>
      </c>
      <c r="M26" s="18">
        <v>6</v>
      </c>
      <c r="N26" s="18" t="s">
        <v>254</v>
      </c>
      <c r="O26" s="18">
        <v>1</v>
      </c>
      <c r="P26" s="18">
        <v>2</v>
      </c>
      <c r="Q26" s="18">
        <v>3</v>
      </c>
      <c r="R26" s="18">
        <v>4</v>
      </c>
      <c r="S26" s="18">
        <v>5</v>
      </c>
      <c r="T26" s="18" t="s">
        <v>247</v>
      </c>
      <c r="U26" s="18" t="s">
        <v>233</v>
      </c>
      <c r="V26" s="18" t="s">
        <v>234</v>
      </c>
      <c r="W26" s="18" t="s">
        <v>268</v>
      </c>
      <c r="X26" s="18" t="s">
        <v>269</v>
      </c>
      <c r="Y26" s="18" t="s">
        <v>343</v>
      </c>
    </row>
    <row r="27" ht="15.75" customHeight="1" spans="1:25">
      <c r="A27" s="16">
        <v>44259.2943516088</v>
      </c>
      <c r="B27" s="17" t="s">
        <v>344</v>
      </c>
      <c r="C27" s="18" t="s">
        <v>226</v>
      </c>
      <c r="D27" s="18" t="s">
        <v>304</v>
      </c>
      <c r="E27" s="97" t="s">
        <v>345</v>
      </c>
      <c r="F27" s="18" t="s">
        <v>346</v>
      </c>
      <c r="G27" s="18" t="s">
        <v>347</v>
      </c>
      <c r="H27" s="18">
        <v>2</v>
      </c>
      <c r="I27" s="18">
        <v>2</v>
      </c>
      <c r="J27" s="18">
        <v>4</v>
      </c>
      <c r="K27" s="18">
        <v>5</v>
      </c>
      <c r="L27" s="18">
        <v>3</v>
      </c>
      <c r="M27" s="18">
        <v>2</v>
      </c>
      <c r="N27" s="18" t="s">
        <v>231</v>
      </c>
      <c r="O27" s="18">
        <v>2</v>
      </c>
      <c r="P27" s="18">
        <v>4</v>
      </c>
      <c r="Q27" s="18">
        <v>3</v>
      </c>
      <c r="R27" s="18">
        <v>5</v>
      </c>
      <c r="S27" s="18">
        <v>5</v>
      </c>
      <c r="T27" s="18" t="s">
        <v>247</v>
      </c>
      <c r="U27" s="18" t="s">
        <v>233</v>
      </c>
      <c r="V27" s="18" t="s">
        <v>234</v>
      </c>
      <c r="W27" s="18" t="s">
        <v>348</v>
      </c>
      <c r="X27" s="18" t="s">
        <v>296</v>
      </c>
      <c r="Y27" s="18" t="s">
        <v>349</v>
      </c>
    </row>
    <row r="28" ht="15.75" customHeight="1" spans="1:25">
      <c r="A28" s="16">
        <v>44259.382107037</v>
      </c>
      <c r="B28" s="17" t="s">
        <v>350</v>
      </c>
      <c r="C28" s="18" t="s">
        <v>226</v>
      </c>
      <c r="D28" s="18" t="s">
        <v>351</v>
      </c>
      <c r="E28" s="97" t="s">
        <v>352</v>
      </c>
      <c r="F28" s="18" t="s">
        <v>353</v>
      </c>
      <c r="G28" s="18" t="s">
        <v>258</v>
      </c>
      <c r="H28" s="18">
        <v>1</v>
      </c>
      <c r="I28" s="18">
        <v>1</v>
      </c>
      <c r="J28" s="18">
        <v>1</v>
      </c>
      <c r="K28" s="18">
        <v>6</v>
      </c>
      <c r="L28" s="18">
        <v>1</v>
      </c>
      <c r="M28" s="18">
        <v>6</v>
      </c>
      <c r="N28" s="18" t="s">
        <v>329</v>
      </c>
      <c r="O28" s="18">
        <v>1</v>
      </c>
      <c r="P28" s="18">
        <v>1</v>
      </c>
      <c r="Q28" s="18">
        <v>2</v>
      </c>
      <c r="R28" s="18">
        <v>5</v>
      </c>
      <c r="S28" s="18">
        <v>3</v>
      </c>
      <c r="T28" s="18" t="s">
        <v>247</v>
      </c>
      <c r="U28" s="18" t="s">
        <v>233</v>
      </c>
      <c r="V28" s="18" t="s">
        <v>255</v>
      </c>
      <c r="W28" s="18" t="s">
        <v>354</v>
      </c>
      <c r="X28" s="18" t="s">
        <v>296</v>
      </c>
      <c r="Y28" s="18" t="s">
        <v>270</v>
      </c>
    </row>
    <row r="29" ht="15.75" customHeight="1" spans="1:25">
      <c r="A29" s="16">
        <v>44259.4831378704</v>
      </c>
      <c r="B29" s="17" t="s">
        <v>355</v>
      </c>
      <c r="C29" s="18" t="s">
        <v>226</v>
      </c>
      <c r="D29" s="18" t="s">
        <v>356</v>
      </c>
      <c r="E29" s="97" t="s">
        <v>357</v>
      </c>
      <c r="F29" s="18" t="s">
        <v>229</v>
      </c>
      <c r="G29" s="18" t="s">
        <v>230</v>
      </c>
      <c r="H29" s="18">
        <v>1</v>
      </c>
      <c r="I29" s="18">
        <v>1</v>
      </c>
      <c r="J29" s="18">
        <v>3</v>
      </c>
      <c r="K29" s="18">
        <v>4</v>
      </c>
      <c r="L29" s="18">
        <v>3</v>
      </c>
      <c r="M29" s="18">
        <v>5</v>
      </c>
      <c r="N29" s="18" t="s">
        <v>231</v>
      </c>
      <c r="O29" s="18">
        <v>1</v>
      </c>
      <c r="P29" s="18">
        <v>3</v>
      </c>
      <c r="Q29" s="18">
        <v>3</v>
      </c>
      <c r="R29" s="18">
        <v>5</v>
      </c>
      <c r="S29" s="18">
        <v>5</v>
      </c>
      <c r="T29" s="18" t="s">
        <v>247</v>
      </c>
      <c r="U29" s="18" t="s">
        <v>240</v>
      </c>
      <c r="V29" s="18" t="s">
        <v>234</v>
      </c>
      <c r="W29" s="18" t="s">
        <v>319</v>
      </c>
      <c r="X29" s="18" t="s">
        <v>269</v>
      </c>
      <c r="Y29" s="18" t="s">
        <v>290</v>
      </c>
    </row>
    <row r="30" ht="15.75" customHeight="1" spans="1:25">
      <c r="A30" s="16">
        <v>44260.6478883102</v>
      </c>
      <c r="B30" s="17" t="s">
        <v>358</v>
      </c>
      <c r="C30" s="18" t="s">
        <v>226</v>
      </c>
      <c r="D30" s="18" t="s">
        <v>359</v>
      </c>
      <c r="E30" s="97" t="s">
        <v>360</v>
      </c>
      <c r="F30" s="18" t="s">
        <v>238</v>
      </c>
      <c r="G30" s="18" t="s">
        <v>361</v>
      </c>
      <c r="H30" s="18">
        <v>1</v>
      </c>
      <c r="I30" s="18">
        <v>1</v>
      </c>
      <c r="J30" s="18">
        <v>6</v>
      </c>
      <c r="K30" s="18">
        <v>6</v>
      </c>
      <c r="L30" s="18">
        <v>6</v>
      </c>
      <c r="M30" s="18">
        <v>2</v>
      </c>
      <c r="N30" s="18" t="s">
        <v>231</v>
      </c>
      <c r="O30" s="18">
        <v>2</v>
      </c>
      <c r="P30" s="18">
        <v>2</v>
      </c>
      <c r="Q30" s="18">
        <v>2</v>
      </c>
      <c r="R30" s="18">
        <v>3</v>
      </c>
      <c r="S30" s="18">
        <v>3</v>
      </c>
      <c r="T30" s="18" t="s">
        <v>232</v>
      </c>
      <c r="U30" s="18" t="s">
        <v>248</v>
      </c>
      <c r="V30" s="18" t="s">
        <v>255</v>
      </c>
      <c r="W30" s="18" t="s">
        <v>276</v>
      </c>
      <c r="X30" s="18" t="s">
        <v>269</v>
      </c>
      <c r="Y30" s="18" t="s">
        <v>311</v>
      </c>
    </row>
    <row r="31" ht="15.75" customHeight="1" spans="1:31">
      <c r="A31" s="16">
        <v>44262.8635499306</v>
      </c>
      <c r="B31" s="17" t="s">
        <v>362</v>
      </c>
      <c r="C31" s="18" t="s">
        <v>226</v>
      </c>
      <c r="D31" s="18" t="s">
        <v>272</v>
      </c>
      <c r="E31" s="97" t="s">
        <v>363</v>
      </c>
      <c r="F31" s="18" t="s">
        <v>229</v>
      </c>
      <c r="G31" s="18" t="s">
        <v>230</v>
      </c>
      <c r="H31" s="18">
        <v>6</v>
      </c>
      <c r="I31" s="18">
        <v>6</v>
      </c>
      <c r="J31" s="18">
        <v>1</v>
      </c>
      <c r="K31" s="18">
        <v>1</v>
      </c>
      <c r="L31" s="18">
        <v>1</v>
      </c>
      <c r="M31" s="18">
        <v>1</v>
      </c>
      <c r="N31" s="18" t="s">
        <v>329</v>
      </c>
      <c r="O31" s="18">
        <v>5</v>
      </c>
      <c r="P31" s="18">
        <v>1</v>
      </c>
      <c r="Q31" s="18">
        <v>1</v>
      </c>
      <c r="R31" s="18">
        <v>1</v>
      </c>
      <c r="S31" s="18">
        <v>1</v>
      </c>
      <c r="T31" s="18" t="s">
        <v>306</v>
      </c>
      <c r="U31" s="18" t="s">
        <v>240</v>
      </c>
      <c r="V31" s="18" t="s">
        <v>234</v>
      </c>
      <c r="W31" s="18" t="s">
        <v>364</v>
      </c>
      <c r="X31" s="18" t="s">
        <v>269</v>
      </c>
      <c r="Y31" s="18" t="s">
        <v>311</v>
      </c>
      <c r="Z31" s="18"/>
      <c r="AA31" s="18"/>
      <c r="AB31" s="18"/>
      <c r="AC31" s="18"/>
      <c r="AD31" s="18"/>
      <c r="AE31" s="18"/>
    </row>
    <row r="32" ht="15.75" customHeight="1" spans="1:31">
      <c r="A32" s="16">
        <v>44263.1786799653</v>
      </c>
      <c r="B32" s="17" t="s">
        <v>365</v>
      </c>
      <c r="C32" s="18" t="s">
        <v>226</v>
      </c>
      <c r="D32" s="18" t="s">
        <v>366</v>
      </c>
      <c r="E32" s="97" t="s">
        <v>367</v>
      </c>
      <c r="F32" s="18" t="s">
        <v>229</v>
      </c>
      <c r="G32" s="18" t="s">
        <v>368</v>
      </c>
      <c r="H32" s="18">
        <v>6</v>
      </c>
      <c r="I32" s="18">
        <v>1</v>
      </c>
      <c r="J32" s="18">
        <v>2</v>
      </c>
      <c r="K32" s="18">
        <v>6</v>
      </c>
      <c r="L32" s="18">
        <v>2</v>
      </c>
      <c r="M32" s="18">
        <v>6</v>
      </c>
      <c r="N32" s="18" t="s">
        <v>231</v>
      </c>
      <c r="O32" s="18">
        <v>1</v>
      </c>
      <c r="P32" s="18">
        <v>2</v>
      </c>
      <c r="Q32" s="18">
        <v>3</v>
      </c>
      <c r="R32" s="18">
        <v>3</v>
      </c>
      <c r="S32" s="18">
        <v>3</v>
      </c>
      <c r="T32" s="18" t="s">
        <v>306</v>
      </c>
      <c r="U32" s="18" t="s">
        <v>233</v>
      </c>
      <c r="V32" s="18" t="s">
        <v>255</v>
      </c>
      <c r="W32" s="18" t="s">
        <v>319</v>
      </c>
      <c r="X32" s="18" t="s">
        <v>269</v>
      </c>
      <c r="Y32" s="18" t="s">
        <v>337</v>
      </c>
      <c r="Z32" s="18"/>
      <c r="AA32" s="18"/>
      <c r="AB32" s="18"/>
      <c r="AC32" s="18"/>
      <c r="AD32" s="18"/>
      <c r="AE32" s="18"/>
    </row>
    <row r="33" ht="15.75" customHeight="1" spans="1:31">
      <c r="A33" s="16">
        <v>44263.438055</v>
      </c>
      <c r="B33" s="17" t="s">
        <v>369</v>
      </c>
      <c r="C33" s="18" t="s">
        <v>226</v>
      </c>
      <c r="D33" s="18" t="s">
        <v>370</v>
      </c>
      <c r="E33" s="97" t="s">
        <v>371</v>
      </c>
      <c r="F33" s="18" t="s">
        <v>274</v>
      </c>
      <c r="G33" s="18" t="s">
        <v>275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 t="s">
        <v>329</v>
      </c>
      <c r="O33" s="18">
        <v>1</v>
      </c>
      <c r="P33" s="18">
        <v>1</v>
      </c>
      <c r="Q33" s="18">
        <v>1</v>
      </c>
      <c r="R33" s="18">
        <v>1</v>
      </c>
      <c r="S33" s="18">
        <v>1</v>
      </c>
      <c r="T33" s="18" t="s">
        <v>247</v>
      </c>
      <c r="U33" s="18" t="s">
        <v>240</v>
      </c>
      <c r="V33" s="18" t="s">
        <v>234</v>
      </c>
      <c r="W33" s="18" t="s">
        <v>268</v>
      </c>
      <c r="X33" s="18" t="s">
        <v>269</v>
      </c>
      <c r="Y33" s="18" t="s">
        <v>270</v>
      </c>
      <c r="Z33" s="18"/>
      <c r="AA33" s="18"/>
      <c r="AB33" s="18"/>
      <c r="AC33" s="18"/>
      <c r="AD33" s="18"/>
      <c r="AE33" s="18"/>
    </row>
    <row r="34" ht="15.75" customHeight="1" spans="1:31">
      <c r="A34" s="16">
        <v>44263.4738237616</v>
      </c>
      <c r="B34" s="17" t="s">
        <v>372</v>
      </c>
      <c r="C34" s="18" t="s">
        <v>226</v>
      </c>
      <c r="D34" s="18" t="s">
        <v>261</v>
      </c>
      <c r="E34" s="97" t="s">
        <v>373</v>
      </c>
      <c r="F34" s="18" t="s">
        <v>374</v>
      </c>
      <c r="G34" s="18" t="s">
        <v>375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 t="s">
        <v>254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 t="s">
        <v>247</v>
      </c>
      <c r="U34" s="18" t="s">
        <v>240</v>
      </c>
      <c r="V34" s="18" t="s">
        <v>294</v>
      </c>
      <c r="W34" s="18" t="s">
        <v>268</v>
      </c>
      <c r="X34" s="18" t="s">
        <v>269</v>
      </c>
      <c r="Y34" s="18" t="s">
        <v>376</v>
      </c>
      <c r="Z34" s="18"/>
      <c r="AA34" s="18"/>
      <c r="AB34" s="18"/>
      <c r="AC34" s="18"/>
      <c r="AD34" s="18"/>
      <c r="AE34" s="18"/>
    </row>
    <row r="35" ht="15.75" customHeight="1" spans="1:31">
      <c r="A35" s="16">
        <v>44263.4760609259</v>
      </c>
      <c r="B35" s="17" t="s">
        <v>377</v>
      </c>
      <c r="C35" s="18" t="s">
        <v>226</v>
      </c>
      <c r="D35" s="18" t="s">
        <v>378</v>
      </c>
      <c r="E35" s="97" t="s">
        <v>379</v>
      </c>
      <c r="F35" s="18" t="s">
        <v>380</v>
      </c>
      <c r="G35" s="18" t="s">
        <v>381</v>
      </c>
      <c r="H35" s="18">
        <v>4</v>
      </c>
      <c r="I35" s="18">
        <v>4</v>
      </c>
      <c r="J35" s="18">
        <v>2</v>
      </c>
      <c r="K35" s="18">
        <v>2</v>
      </c>
      <c r="L35" s="18">
        <v>3</v>
      </c>
      <c r="M35" s="18">
        <v>4</v>
      </c>
      <c r="N35" s="18" t="s">
        <v>231</v>
      </c>
      <c r="O35" s="18">
        <v>4</v>
      </c>
      <c r="P35" s="18">
        <v>4</v>
      </c>
      <c r="Q35" s="18">
        <v>2</v>
      </c>
      <c r="R35" s="18">
        <v>2</v>
      </c>
      <c r="S35" s="18">
        <v>2</v>
      </c>
      <c r="T35" s="18" t="s">
        <v>247</v>
      </c>
      <c r="U35" s="18" t="s">
        <v>233</v>
      </c>
      <c r="V35" s="18" t="s">
        <v>234</v>
      </c>
      <c r="W35" s="18" t="s">
        <v>382</v>
      </c>
      <c r="X35" s="18" t="s">
        <v>269</v>
      </c>
      <c r="Y35" s="18" t="s">
        <v>311</v>
      </c>
      <c r="Z35" s="18"/>
      <c r="AA35" s="18"/>
      <c r="AB35" s="18"/>
      <c r="AC35" s="18"/>
      <c r="AD35" s="18"/>
      <c r="AE35" s="18"/>
    </row>
    <row r="36" ht="15.75" customHeight="1" spans="1:31">
      <c r="A36" s="16">
        <v>44263.4806440509</v>
      </c>
      <c r="B36" s="17" t="s">
        <v>383</v>
      </c>
      <c r="C36" s="18" t="s">
        <v>226</v>
      </c>
      <c r="D36" s="18" t="s">
        <v>236</v>
      </c>
      <c r="E36" s="97" t="s">
        <v>384</v>
      </c>
      <c r="F36" s="18" t="s">
        <v>274</v>
      </c>
      <c r="G36" s="18" t="s">
        <v>258</v>
      </c>
      <c r="H36" s="18">
        <v>1</v>
      </c>
      <c r="I36" s="18">
        <v>2</v>
      </c>
      <c r="J36" s="18">
        <v>3</v>
      </c>
      <c r="K36" s="18">
        <v>1</v>
      </c>
      <c r="L36" s="18">
        <v>2</v>
      </c>
      <c r="M36" s="18">
        <v>1</v>
      </c>
      <c r="N36" s="18" t="s">
        <v>254</v>
      </c>
      <c r="O36" s="18">
        <v>3</v>
      </c>
      <c r="P36" s="18">
        <v>2</v>
      </c>
      <c r="Q36" s="18">
        <v>3</v>
      </c>
      <c r="R36" s="18">
        <v>1</v>
      </c>
      <c r="S36" s="18">
        <v>2</v>
      </c>
      <c r="T36" s="18" t="s">
        <v>232</v>
      </c>
      <c r="U36" s="18" t="s">
        <v>240</v>
      </c>
      <c r="V36" s="18" t="s">
        <v>234</v>
      </c>
      <c r="W36" s="18" t="s">
        <v>385</v>
      </c>
      <c r="X36" s="18" t="s">
        <v>269</v>
      </c>
      <c r="Y36" s="18" t="s">
        <v>343</v>
      </c>
      <c r="Z36" s="18"/>
      <c r="AA36" s="18"/>
      <c r="AB36" s="18"/>
      <c r="AC36" s="18"/>
      <c r="AD36" s="18"/>
      <c r="AE36" s="18"/>
    </row>
    <row r="37" ht="15.75" customHeight="1" spans="1:31">
      <c r="A37" s="16">
        <v>44263.4807526736</v>
      </c>
      <c r="B37" s="17" t="s">
        <v>383</v>
      </c>
      <c r="C37" s="18" t="s">
        <v>226</v>
      </c>
      <c r="D37" s="18" t="s">
        <v>236</v>
      </c>
      <c r="E37" s="97" t="s">
        <v>384</v>
      </c>
      <c r="F37" s="18" t="s">
        <v>274</v>
      </c>
      <c r="G37" s="18" t="s">
        <v>258</v>
      </c>
      <c r="H37" s="18">
        <v>1</v>
      </c>
      <c r="I37" s="18">
        <v>2</v>
      </c>
      <c r="J37" s="18">
        <v>3</v>
      </c>
      <c r="K37" s="18">
        <v>1</v>
      </c>
      <c r="L37" s="18">
        <v>2</v>
      </c>
      <c r="M37" s="18">
        <v>1</v>
      </c>
      <c r="N37" s="18" t="s">
        <v>254</v>
      </c>
      <c r="O37" s="18">
        <v>3</v>
      </c>
      <c r="P37" s="18">
        <v>2</v>
      </c>
      <c r="Q37" s="18">
        <v>3</v>
      </c>
      <c r="R37" s="18">
        <v>1</v>
      </c>
      <c r="S37" s="18">
        <v>2</v>
      </c>
      <c r="T37" s="18" t="s">
        <v>232</v>
      </c>
      <c r="U37" s="18" t="s">
        <v>240</v>
      </c>
      <c r="V37" s="18" t="s">
        <v>234</v>
      </c>
      <c r="W37" s="18" t="s">
        <v>385</v>
      </c>
      <c r="X37" s="18" t="s">
        <v>269</v>
      </c>
      <c r="Y37" s="18" t="s">
        <v>343</v>
      </c>
      <c r="Z37" s="18"/>
      <c r="AA37" s="18"/>
      <c r="AB37" s="18"/>
      <c r="AC37" s="18"/>
      <c r="AD37" s="18"/>
      <c r="AE37" s="18"/>
    </row>
    <row r="38" ht="15.75" customHeight="1" spans="1:31">
      <c r="A38" s="16">
        <v>44263.4929729861</v>
      </c>
      <c r="B38" s="17" t="s">
        <v>386</v>
      </c>
      <c r="C38" s="18" t="s">
        <v>226</v>
      </c>
      <c r="D38" s="18" t="s">
        <v>227</v>
      </c>
      <c r="E38" s="97" t="s">
        <v>387</v>
      </c>
      <c r="F38" s="18" t="s">
        <v>238</v>
      </c>
      <c r="G38" s="18" t="s">
        <v>230</v>
      </c>
      <c r="H38" s="18">
        <v>1</v>
      </c>
      <c r="I38" s="18">
        <v>2</v>
      </c>
      <c r="J38" s="18">
        <v>3</v>
      </c>
      <c r="K38" s="18">
        <v>4</v>
      </c>
      <c r="L38" s="18">
        <v>5</v>
      </c>
      <c r="M38" s="18">
        <v>6</v>
      </c>
      <c r="N38" s="18" t="s">
        <v>231</v>
      </c>
      <c r="O38" s="18">
        <v>1</v>
      </c>
      <c r="P38" s="18">
        <v>3</v>
      </c>
      <c r="Q38" s="18">
        <v>2</v>
      </c>
      <c r="R38" s="18">
        <v>4</v>
      </c>
      <c r="S38" s="18">
        <v>5</v>
      </c>
      <c r="T38" s="18" t="s">
        <v>306</v>
      </c>
      <c r="U38" s="18" t="s">
        <v>248</v>
      </c>
      <c r="V38" s="18" t="s">
        <v>282</v>
      </c>
      <c r="W38" s="18" t="s">
        <v>268</v>
      </c>
      <c r="X38" s="18" t="s">
        <v>388</v>
      </c>
      <c r="Y38" s="18" t="s">
        <v>315</v>
      </c>
      <c r="Z38" s="18"/>
      <c r="AA38" s="18"/>
      <c r="AB38" s="18"/>
      <c r="AC38" s="18"/>
      <c r="AD38" s="18"/>
      <c r="AE38" s="18"/>
    </row>
    <row r="39" ht="15.75" customHeight="1" spans="1:31">
      <c r="A39" s="16">
        <v>44263.6112922222</v>
      </c>
      <c r="B39" s="17" t="s">
        <v>389</v>
      </c>
      <c r="C39" s="18" t="s">
        <v>226</v>
      </c>
      <c r="D39" s="18" t="s">
        <v>227</v>
      </c>
      <c r="E39" s="97" t="s">
        <v>390</v>
      </c>
      <c r="F39" s="18" t="s">
        <v>227</v>
      </c>
      <c r="G39" s="18" t="s">
        <v>275</v>
      </c>
      <c r="H39" s="18">
        <v>1</v>
      </c>
      <c r="I39" s="18">
        <v>1</v>
      </c>
      <c r="J39" s="18">
        <v>1</v>
      </c>
      <c r="K39" s="18">
        <v>3</v>
      </c>
      <c r="L39" s="18">
        <v>3</v>
      </c>
      <c r="M39" s="18">
        <v>3</v>
      </c>
      <c r="N39" s="18" t="s">
        <v>231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 t="s">
        <v>247</v>
      </c>
      <c r="U39" s="18" t="s">
        <v>248</v>
      </c>
      <c r="V39" s="18" t="s">
        <v>294</v>
      </c>
      <c r="W39" s="18" t="s">
        <v>268</v>
      </c>
      <c r="X39" s="18" t="s">
        <v>269</v>
      </c>
      <c r="Y39" s="18" t="s">
        <v>315</v>
      </c>
      <c r="Z39" s="18"/>
      <c r="AA39" s="18"/>
      <c r="AB39" s="18"/>
      <c r="AC39" s="18"/>
      <c r="AD39" s="18"/>
      <c r="AE39" s="18"/>
    </row>
    <row r="40" ht="15.75" customHeight="1" spans="1:31">
      <c r="A40" s="16">
        <v>44263.6330084838</v>
      </c>
      <c r="B40" s="17" t="s">
        <v>391</v>
      </c>
      <c r="C40" s="18" t="s">
        <v>226</v>
      </c>
      <c r="D40" s="18" t="s">
        <v>292</v>
      </c>
      <c r="E40" s="97" t="s">
        <v>392</v>
      </c>
      <c r="F40" s="18" t="s">
        <v>238</v>
      </c>
      <c r="G40" s="18" t="s">
        <v>48</v>
      </c>
      <c r="H40" s="18">
        <v>4</v>
      </c>
      <c r="I40" s="18">
        <v>3</v>
      </c>
      <c r="J40" s="18">
        <v>1</v>
      </c>
      <c r="K40" s="18">
        <v>1</v>
      </c>
      <c r="L40" s="18">
        <v>1</v>
      </c>
      <c r="M40" s="18">
        <v>2</v>
      </c>
      <c r="N40" s="18" t="s">
        <v>329</v>
      </c>
      <c r="O40" s="18">
        <v>2</v>
      </c>
      <c r="P40" s="18">
        <v>1</v>
      </c>
      <c r="Q40" s="18">
        <v>1</v>
      </c>
      <c r="R40" s="18">
        <v>4</v>
      </c>
      <c r="S40" s="18">
        <v>3</v>
      </c>
      <c r="T40" s="18" t="s">
        <v>247</v>
      </c>
      <c r="U40" s="18" t="s">
        <v>240</v>
      </c>
      <c r="V40" s="18" t="s">
        <v>255</v>
      </c>
      <c r="W40" s="18" t="s">
        <v>393</v>
      </c>
      <c r="X40" s="18" t="s">
        <v>269</v>
      </c>
      <c r="Y40" s="18" t="s">
        <v>394</v>
      </c>
      <c r="Z40" s="18"/>
      <c r="AA40" s="18"/>
      <c r="AB40" s="18"/>
      <c r="AC40" s="18"/>
      <c r="AD40" s="18"/>
      <c r="AE40" s="18"/>
    </row>
    <row r="41" ht="15.75" customHeight="1" spans="1:31">
      <c r="A41" s="16">
        <v>44263.827938588</v>
      </c>
      <c r="B41" s="18" t="s">
        <v>395</v>
      </c>
      <c r="C41" s="18" t="s">
        <v>226</v>
      </c>
      <c r="D41" s="18" t="s">
        <v>396</v>
      </c>
      <c r="E41" s="97" t="s">
        <v>397</v>
      </c>
      <c r="F41" s="18" t="s">
        <v>398</v>
      </c>
      <c r="G41" s="18" t="s">
        <v>48</v>
      </c>
      <c r="H41" s="18">
        <v>1</v>
      </c>
      <c r="I41" s="18">
        <v>1</v>
      </c>
      <c r="J41" s="18">
        <v>6</v>
      </c>
      <c r="K41" s="18">
        <v>6</v>
      </c>
      <c r="L41" s="18">
        <v>5</v>
      </c>
      <c r="M41" s="18">
        <v>4</v>
      </c>
      <c r="N41" s="18" t="s">
        <v>329</v>
      </c>
      <c r="O41" s="18">
        <v>2</v>
      </c>
      <c r="P41" s="18">
        <v>3</v>
      </c>
      <c r="Q41" s="18">
        <v>5</v>
      </c>
      <c r="R41" s="18">
        <v>5</v>
      </c>
      <c r="S41" s="18">
        <v>2</v>
      </c>
      <c r="T41" s="18" t="s">
        <v>232</v>
      </c>
      <c r="U41" s="18" t="s">
        <v>240</v>
      </c>
      <c r="V41" s="18" t="s">
        <v>255</v>
      </c>
      <c r="W41" s="18" t="s">
        <v>364</v>
      </c>
      <c r="X41" s="18" t="s">
        <v>269</v>
      </c>
      <c r="Y41" s="18" t="s">
        <v>270</v>
      </c>
      <c r="Z41" s="18"/>
      <c r="AA41" s="18"/>
      <c r="AB41" s="18"/>
      <c r="AC41" s="18"/>
      <c r="AD41" s="18"/>
      <c r="AE41" s="18"/>
    </row>
    <row r="42" ht="15.75" customHeight="1" spans="1:31">
      <c r="A42" s="16">
        <v>44264.7667054282</v>
      </c>
      <c r="B42" s="17" t="s">
        <v>399</v>
      </c>
      <c r="C42" s="18" t="s">
        <v>226</v>
      </c>
      <c r="D42" s="18" t="s">
        <v>272</v>
      </c>
      <c r="E42" s="18">
        <v>81284030084</v>
      </c>
      <c r="F42" s="18" t="s">
        <v>400</v>
      </c>
      <c r="G42" s="18" t="s">
        <v>401</v>
      </c>
      <c r="H42" s="18">
        <v>1</v>
      </c>
      <c r="I42" s="18">
        <v>2</v>
      </c>
      <c r="J42" s="18">
        <v>3</v>
      </c>
      <c r="K42" s="18">
        <v>6</v>
      </c>
      <c r="L42" s="18">
        <v>5</v>
      </c>
      <c r="M42" s="18">
        <v>4</v>
      </c>
      <c r="N42" s="18" t="s">
        <v>231</v>
      </c>
      <c r="O42" s="18">
        <v>1</v>
      </c>
      <c r="P42" s="18">
        <v>2</v>
      </c>
      <c r="Q42" s="18">
        <v>3</v>
      </c>
      <c r="R42" s="18">
        <v>4</v>
      </c>
      <c r="S42" s="18">
        <v>5</v>
      </c>
      <c r="T42" s="18" t="s">
        <v>232</v>
      </c>
      <c r="U42" s="18" t="s">
        <v>233</v>
      </c>
      <c r="V42" s="18" t="s">
        <v>234</v>
      </c>
      <c r="W42" s="18" t="s">
        <v>393</v>
      </c>
      <c r="X42" s="18" t="s">
        <v>269</v>
      </c>
      <c r="Y42" s="18" t="s">
        <v>270</v>
      </c>
      <c r="Z42" s="18"/>
      <c r="AA42" s="18"/>
      <c r="AB42" s="18"/>
      <c r="AC42" s="18"/>
      <c r="AD42" s="18"/>
      <c r="AE42" s="18"/>
    </row>
    <row r="43" ht="15.75" customHeight="1" spans="1:31">
      <c r="A43" s="16">
        <v>44264.8735006944</v>
      </c>
      <c r="B43" s="17" t="s">
        <v>402</v>
      </c>
      <c r="C43" s="18" t="s">
        <v>226</v>
      </c>
      <c r="D43" s="18" t="s">
        <v>227</v>
      </c>
      <c r="E43" s="97" t="s">
        <v>403</v>
      </c>
      <c r="F43" s="18" t="s">
        <v>404</v>
      </c>
      <c r="G43" s="18" t="s">
        <v>405</v>
      </c>
      <c r="H43" s="18">
        <v>4</v>
      </c>
      <c r="I43" s="18">
        <v>4</v>
      </c>
      <c r="J43" s="18">
        <v>4</v>
      </c>
      <c r="K43" s="18">
        <v>4</v>
      </c>
      <c r="L43" s="18">
        <v>4</v>
      </c>
      <c r="M43" s="18">
        <v>1</v>
      </c>
      <c r="N43" s="18" t="s">
        <v>231</v>
      </c>
      <c r="O43" s="18">
        <v>4</v>
      </c>
      <c r="P43" s="18">
        <v>1</v>
      </c>
      <c r="Q43" s="18">
        <v>1</v>
      </c>
      <c r="R43" s="18">
        <v>2</v>
      </c>
      <c r="S43" s="18">
        <v>2</v>
      </c>
      <c r="T43" s="18" t="s">
        <v>232</v>
      </c>
      <c r="U43" s="18" t="s">
        <v>233</v>
      </c>
      <c r="V43" s="18" t="s">
        <v>255</v>
      </c>
      <c r="W43" s="18" t="s">
        <v>406</v>
      </c>
      <c r="X43" s="18" t="s">
        <v>269</v>
      </c>
      <c r="Y43" s="18" t="s">
        <v>290</v>
      </c>
      <c r="Z43" s="18"/>
      <c r="AA43" s="18"/>
      <c r="AB43" s="18"/>
      <c r="AC43" s="18"/>
      <c r="AD43" s="18"/>
      <c r="AE43" s="18"/>
    </row>
    <row r="44" ht="15.75" customHeight="1" spans="1:31">
      <c r="A44" s="16">
        <v>44265.4787671412</v>
      </c>
      <c r="B44" s="17" t="s">
        <v>407</v>
      </c>
      <c r="C44" s="18" t="s">
        <v>226</v>
      </c>
      <c r="D44" s="18" t="s">
        <v>408</v>
      </c>
      <c r="E44" s="97" t="s">
        <v>409</v>
      </c>
      <c r="F44" s="18" t="s">
        <v>229</v>
      </c>
      <c r="G44" s="18" t="s">
        <v>410</v>
      </c>
      <c r="H44" s="18">
        <v>1</v>
      </c>
      <c r="I44" s="18">
        <v>1</v>
      </c>
      <c r="J44" s="18">
        <v>6</v>
      </c>
      <c r="K44" s="18">
        <v>6</v>
      </c>
      <c r="L44" s="18">
        <v>4</v>
      </c>
      <c r="M44" s="18">
        <v>4</v>
      </c>
      <c r="N44" s="18" t="s">
        <v>231</v>
      </c>
      <c r="O44" s="18">
        <v>1</v>
      </c>
      <c r="P44" s="18">
        <v>3</v>
      </c>
      <c r="Q44" s="18">
        <v>3</v>
      </c>
      <c r="R44" s="18">
        <v>4</v>
      </c>
      <c r="S44" s="18">
        <v>4</v>
      </c>
      <c r="T44" s="18" t="s">
        <v>247</v>
      </c>
      <c r="U44" s="18" t="s">
        <v>240</v>
      </c>
      <c r="V44" s="18" t="s">
        <v>234</v>
      </c>
      <c r="W44" s="18" t="s">
        <v>276</v>
      </c>
      <c r="X44" s="18" t="s">
        <v>269</v>
      </c>
      <c r="Y44" s="18" t="s">
        <v>290</v>
      </c>
      <c r="Z44" s="18"/>
      <c r="AA44" s="18"/>
      <c r="AB44" s="18"/>
      <c r="AC44" s="18"/>
      <c r="AD44" s="18"/>
      <c r="AE44" s="18"/>
    </row>
    <row r="45" ht="15.75" customHeight="1" spans="1:31">
      <c r="A45" s="16">
        <v>44266.7049353704</v>
      </c>
      <c r="B45" s="17" t="s">
        <v>411</v>
      </c>
      <c r="C45" s="18" t="s">
        <v>226</v>
      </c>
      <c r="D45" s="18" t="s">
        <v>227</v>
      </c>
      <c r="E45" s="97" t="s">
        <v>412</v>
      </c>
      <c r="F45" s="18" t="s">
        <v>413</v>
      </c>
      <c r="G45" s="18" t="s">
        <v>230</v>
      </c>
      <c r="H45" s="18">
        <v>4</v>
      </c>
      <c r="I45" s="18">
        <v>4</v>
      </c>
      <c r="J45" s="18">
        <v>2</v>
      </c>
      <c r="K45" s="18">
        <v>1</v>
      </c>
      <c r="L45" s="18">
        <v>2</v>
      </c>
      <c r="M45" s="18">
        <v>1</v>
      </c>
      <c r="N45" s="18" t="s">
        <v>231</v>
      </c>
      <c r="O45" s="18">
        <v>4</v>
      </c>
      <c r="P45" s="18">
        <v>2</v>
      </c>
      <c r="Q45" s="18">
        <v>2</v>
      </c>
      <c r="R45" s="18">
        <v>2</v>
      </c>
      <c r="S45" s="18">
        <v>3</v>
      </c>
      <c r="T45" s="18" t="s">
        <v>247</v>
      </c>
      <c r="U45" s="18" t="s">
        <v>259</v>
      </c>
      <c r="V45" s="18" t="s">
        <v>255</v>
      </c>
      <c r="W45" s="18" t="s">
        <v>268</v>
      </c>
      <c r="X45" s="18" t="s">
        <v>302</v>
      </c>
      <c r="Y45" s="18" t="s">
        <v>290</v>
      </c>
      <c r="Z45" s="18"/>
      <c r="AA45" s="18"/>
      <c r="AB45" s="18"/>
      <c r="AC45" s="18"/>
      <c r="AD45" s="18"/>
      <c r="AE45" s="18"/>
    </row>
    <row r="46" ht="15.75" customHeight="1" spans="1:31">
      <c r="A46" s="16">
        <v>44266.9062079282</v>
      </c>
      <c r="B46" s="17" t="s">
        <v>414</v>
      </c>
      <c r="C46" s="18" t="s">
        <v>226</v>
      </c>
      <c r="D46" s="18" t="s">
        <v>227</v>
      </c>
      <c r="E46" s="97" t="s">
        <v>415</v>
      </c>
      <c r="F46" s="18" t="s">
        <v>229</v>
      </c>
      <c r="G46" s="18" t="s">
        <v>230</v>
      </c>
      <c r="H46" s="18">
        <v>1</v>
      </c>
      <c r="I46" s="18">
        <v>1</v>
      </c>
      <c r="J46" s="18">
        <v>4</v>
      </c>
      <c r="K46" s="18">
        <v>4</v>
      </c>
      <c r="L46" s="18">
        <v>4</v>
      </c>
      <c r="M46" s="18">
        <v>4</v>
      </c>
      <c r="N46" s="18" t="s">
        <v>231</v>
      </c>
      <c r="O46" s="18">
        <v>1</v>
      </c>
      <c r="P46" s="18">
        <v>4</v>
      </c>
      <c r="Q46" s="18">
        <v>4</v>
      </c>
      <c r="R46" s="18">
        <v>2</v>
      </c>
      <c r="S46" s="18">
        <v>1</v>
      </c>
      <c r="T46" s="18" t="s">
        <v>232</v>
      </c>
      <c r="U46" s="18" t="s">
        <v>248</v>
      </c>
      <c r="V46" s="18" t="s">
        <v>282</v>
      </c>
      <c r="W46" s="18" t="s">
        <v>364</v>
      </c>
      <c r="X46" s="18" t="s">
        <v>269</v>
      </c>
      <c r="Y46" s="18" t="s">
        <v>290</v>
      </c>
      <c r="Z46" s="18"/>
      <c r="AA46" s="18"/>
      <c r="AB46" s="18"/>
      <c r="AC46" s="18"/>
      <c r="AD46" s="18"/>
      <c r="AE46" s="18"/>
    </row>
    <row r="47" ht="15.75" customHeight="1" spans="1:31">
      <c r="A47" s="16">
        <v>44266.9086765856</v>
      </c>
      <c r="B47" s="17" t="s">
        <v>416</v>
      </c>
      <c r="C47" s="18" t="s">
        <v>226</v>
      </c>
      <c r="D47" s="18" t="s">
        <v>227</v>
      </c>
      <c r="E47" s="97" t="s">
        <v>417</v>
      </c>
      <c r="F47" s="18" t="s">
        <v>238</v>
      </c>
      <c r="G47" s="18" t="s">
        <v>230</v>
      </c>
      <c r="H47" s="18">
        <v>4</v>
      </c>
      <c r="I47" s="18">
        <v>4</v>
      </c>
      <c r="J47" s="18">
        <v>4</v>
      </c>
      <c r="K47" s="18">
        <v>1</v>
      </c>
      <c r="L47" s="18">
        <v>4</v>
      </c>
      <c r="M47" s="18">
        <v>1</v>
      </c>
      <c r="N47" s="18" t="s">
        <v>231</v>
      </c>
      <c r="O47" s="18">
        <v>3</v>
      </c>
      <c r="P47" s="18">
        <v>4</v>
      </c>
      <c r="Q47" s="18">
        <v>4</v>
      </c>
      <c r="R47" s="18">
        <v>2</v>
      </c>
      <c r="S47" s="18">
        <v>1</v>
      </c>
      <c r="T47" s="18" t="s">
        <v>247</v>
      </c>
      <c r="U47" s="18" t="s">
        <v>240</v>
      </c>
      <c r="V47" s="18" t="s">
        <v>234</v>
      </c>
      <c r="W47" s="18" t="s">
        <v>418</v>
      </c>
      <c r="X47" s="18" t="s">
        <v>296</v>
      </c>
      <c r="Y47" s="18" t="s">
        <v>311</v>
      </c>
      <c r="Z47" s="18"/>
      <c r="AA47" s="18"/>
      <c r="AB47" s="18"/>
      <c r="AC47" s="18"/>
      <c r="AD47" s="18"/>
      <c r="AE47" s="18"/>
    </row>
    <row r="48" ht="15.75" customHeight="1" spans="1:31">
      <c r="A48" s="16">
        <v>44270.4912673727</v>
      </c>
      <c r="B48" s="17" t="s">
        <v>419</v>
      </c>
      <c r="C48" s="18" t="s">
        <v>226</v>
      </c>
      <c r="D48" s="18" t="s">
        <v>272</v>
      </c>
      <c r="E48" s="97" t="s">
        <v>420</v>
      </c>
      <c r="F48" s="18" t="s">
        <v>238</v>
      </c>
      <c r="G48" s="18" t="s">
        <v>230</v>
      </c>
      <c r="H48" s="18">
        <v>1</v>
      </c>
      <c r="I48" s="18">
        <v>1</v>
      </c>
      <c r="J48" s="18">
        <v>1</v>
      </c>
      <c r="K48" s="18">
        <v>6</v>
      </c>
      <c r="L48" s="18">
        <v>6</v>
      </c>
      <c r="M48" s="18">
        <v>6</v>
      </c>
      <c r="N48" s="18" t="s">
        <v>231</v>
      </c>
      <c r="O48" s="18">
        <v>5</v>
      </c>
      <c r="P48" s="18">
        <v>1</v>
      </c>
      <c r="Q48" s="18">
        <v>1</v>
      </c>
      <c r="R48" s="18">
        <v>1</v>
      </c>
      <c r="S48" s="18">
        <v>1</v>
      </c>
      <c r="T48" s="18" t="s">
        <v>247</v>
      </c>
      <c r="U48" s="18" t="s">
        <v>233</v>
      </c>
      <c r="V48" s="18" t="s">
        <v>234</v>
      </c>
      <c r="W48" s="18" t="s">
        <v>421</v>
      </c>
      <c r="X48" s="18" t="s">
        <v>269</v>
      </c>
      <c r="Y48" s="18" t="s">
        <v>422</v>
      </c>
      <c r="Z48" s="18"/>
      <c r="AA48" s="18"/>
      <c r="AB48" s="18"/>
      <c r="AC48" s="18"/>
      <c r="AD48" s="18"/>
      <c r="AE48" s="18"/>
    </row>
    <row r="49" ht="15.75" customHeight="1" spans="1:31">
      <c r="A49" s="16">
        <v>44270.6186248495</v>
      </c>
      <c r="B49" s="17" t="s">
        <v>423</v>
      </c>
      <c r="C49" s="18" t="s">
        <v>226</v>
      </c>
      <c r="D49" s="18" t="s">
        <v>359</v>
      </c>
      <c r="E49" s="97" t="s">
        <v>424</v>
      </c>
      <c r="F49" s="18" t="s">
        <v>274</v>
      </c>
      <c r="G49" s="18" t="s">
        <v>425</v>
      </c>
      <c r="H49" s="18">
        <v>6</v>
      </c>
      <c r="I49" s="18">
        <v>5</v>
      </c>
      <c r="J49" s="18">
        <v>1</v>
      </c>
      <c r="K49" s="18">
        <v>2</v>
      </c>
      <c r="L49" s="18">
        <v>3</v>
      </c>
      <c r="M49" s="18">
        <v>4</v>
      </c>
      <c r="N49" s="18" t="s">
        <v>254</v>
      </c>
      <c r="O49" s="18">
        <v>2</v>
      </c>
      <c r="P49" s="18">
        <v>3</v>
      </c>
      <c r="Q49" s="18">
        <v>1</v>
      </c>
      <c r="R49" s="18">
        <v>4</v>
      </c>
      <c r="S49" s="18">
        <v>5</v>
      </c>
      <c r="T49" s="18" t="s">
        <v>247</v>
      </c>
      <c r="U49" s="18" t="s">
        <v>233</v>
      </c>
      <c r="V49" s="18" t="s">
        <v>255</v>
      </c>
      <c r="W49" s="18" t="s">
        <v>426</v>
      </c>
      <c r="X49" s="18" t="s">
        <v>269</v>
      </c>
      <c r="Y49" s="18" t="s">
        <v>311</v>
      </c>
      <c r="Z49" s="18"/>
      <c r="AA49" s="18"/>
      <c r="AB49" s="18"/>
      <c r="AC49" s="18"/>
      <c r="AD49" s="18"/>
      <c r="AE49" s="18"/>
    </row>
    <row r="50" ht="15.75" customHeight="1" spans="1:25">
      <c r="A50" s="19">
        <v>44270.7304717593</v>
      </c>
      <c r="B50" s="13" t="s">
        <v>427</v>
      </c>
      <c r="C50" s="13" t="s">
        <v>226</v>
      </c>
      <c r="D50" s="13" t="s">
        <v>227</v>
      </c>
      <c r="E50" s="13" t="s">
        <v>428</v>
      </c>
      <c r="F50" s="13" t="s">
        <v>429</v>
      </c>
      <c r="G50" s="13" t="s">
        <v>430</v>
      </c>
      <c r="H50" s="13">
        <v>6</v>
      </c>
      <c r="I50" s="13">
        <v>6</v>
      </c>
      <c r="J50" s="13">
        <v>5</v>
      </c>
      <c r="K50" s="13">
        <v>2</v>
      </c>
      <c r="L50" s="13">
        <v>4</v>
      </c>
      <c r="M50" s="13">
        <v>4</v>
      </c>
      <c r="N50" s="13" t="s">
        <v>231</v>
      </c>
      <c r="O50" s="13">
        <v>5</v>
      </c>
      <c r="P50" s="13">
        <v>4</v>
      </c>
      <c r="Q50" s="13">
        <v>5</v>
      </c>
      <c r="R50" s="13">
        <v>1</v>
      </c>
      <c r="S50" s="13">
        <v>3</v>
      </c>
      <c r="T50" s="13" t="s">
        <v>232</v>
      </c>
      <c r="U50" s="13" t="s">
        <v>240</v>
      </c>
      <c r="V50" s="13" t="s">
        <v>255</v>
      </c>
      <c r="W50" s="13" t="s">
        <v>431</v>
      </c>
      <c r="X50" s="13" t="s">
        <v>269</v>
      </c>
      <c r="Y50" s="13" t="s">
        <v>290</v>
      </c>
    </row>
    <row r="51" ht="15.75" customHeight="1" spans="2:2">
      <c r="B51" s="20"/>
    </row>
    <row r="52" ht="15.75" customHeight="1" spans="2:2">
      <c r="B52" s="20"/>
    </row>
    <row r="53" ht="15.75" customHeight="1" spans="2:2">
      <c r="B53" s="20"/>
    </row>
    <row r="54" ht="15.75" customHeight="1" spans="2:2">
      <c r="B54" s="20"/>
    </row>
    <row r="55" ht="15.75" customHeight="1" spans="2:2">
      <c r="B55" s="20"/>
    </row>
    <row r="56" ht="15.75" customHeight="1" spans="2:2">
      <c r="B56" s="20"/>
    </row>
    <row r="57" ht="15.75" customHeight="1" spans="2:2">
      <c r="B57" s="20"/>
    </row>
    <row r="58" ht="15.75" customHeight="1" spans="2:2">
      <c r="B58" s="20"/>
    </row>
    <row r="59" ht="15.75" customHeight="1" spans="2:2">
      <c r="B59" s="20"/>
    </row>
    <row r="60" ht="15.75" customHeight="1" spans="2:2">
      <c r="B60" s="20"/>
    </row>
    <row r="61" ht="15.75" customHeight="1" spans="2:2">
      <c r="B61" s="20"/>
    </row>
    <row r="62" ht="15.75" customHeight="1" spans="2:2">
      <c r="B62" s="20"/>
    </row>
    <row r="63" ht="15.75" customHeight="1" spans="2:2">
      <c r="B63" s="20"/>
    </row>
    <row r="64" ht="15.75" customHeight="1" spans="2:2">
      <c r="B64" s="20"/>
    </row>
    <row r="65" ht="15.75" customHeight="1" spans="2:2">
      <c r="B65" s="20"/>
    </row>
    <row r="66" ht="15.75" customHeight="1" spans="2:2">
      <c r="B66" s="20"/>
    </row>
    <row r="67" ht="15.75" customHeight="1" spans="2:2">
      <c r="B67" s="20"/>
    </row>
    <row r="68" ht="15.75" customHeight="1" spans="2:2">
      <c r="B68" s="20"/>
    </row>
    <row r="69" ht="15.75" customHeight="1" spans="2:2">
      <c r="B69" s="20"/>
    </row>
    <row r="70" ht="15.75" customHeight="1" spans="2:2">
      <c r="B70" s="20"/>
    </row>
    <row r="71" ht="15.75" customHeight="1" spans="2:2">
      <c r="B71" s="20"/>
    </row>
    <row r="72" ht="15.75" customHeight="1" spans="2:2">
      <c r="B72" s="20"/>
    </row>
    <row r="73" ht="15.75" customHeight="1" spans="2:2">
      <c r="B73" s="20"/>
    </row>
    <row r="74" ht="15.75" customHeight="1" spans="2:2">
      <c r="B74" s="20"/>
    </row>
    <row r="75" ht="15.75" customHeight="1" spans="2:2">
      <c r="B75" s="20"/>
    </row>
    <row r="76" ht="15.75" customHeight="1" spans="2:2">
      <c r="B76" s="20"/>
    </row>
    <row r="77" ht="15.75" customHeight="1" spans="2:2">
      <c r="B77" s="20"/>
    </row>
    <row r="78" ht="15.75" customHeight="1" spans="2:2">
      <c r="B78" s="20"/>
    </row>
    <row r="79" ht="15.75" customHeight="1" spans="2:2">
      <c r="B79" s="20"/>
    </row>
    <row r="80" ht="15.75" customHeight="1" spans="2:2">
      <c r="B80" s="20"/>
    </row>
    <row r="81" ht="15.75" customHeight="1" spans="2:2">
      <c r="B81" s="20"/>
    </row>
    <row r="82" ht="15.75" customHeight="1" spans="2:2">
      <c r="B82" s="20"/>
    </row>
    <row r="83" ht="15.75" customHeight="1" spans="2:2">
      <c r="B83" s="20"/>
    </row>
    <row r="84" ht="15.75" customHeight="1" spans="2:2">
      <c r="B84" s="20"/>
    </row>
    <row r="85" ht="15.75" customHeight="1" spans="2:2">
      <c r="B85" s="20"/>
    </row>
    <row r="86" ht="15.75" customHeight="1" spans="2:2">
      <c r="B86" s="20"/>
    </row>
    <row r="87" ht="15.75" customHeight="1" spans="2:2">
      <c r="B87" s="20"/>
    </row>
    <row r="88" ht="15.75" customHeight="1" spans="2:2">
      <c r="B88" s="20"/>
    </row>
    <row r="89" ht="15.75" customHeight="1" spans="2:2">
      <c r="B89" s="20"/>
    </row>
    <row r="90" ht="15.75" customHeight="1" spans="2:2">
      <c r="B90" s="20"/>
    </row>
    <row r="91" ht="15.75" customHeight="1" spans="2:2">
      <c r="B91" s="20"/>
    </row>
    <row r="92" ht="15.75" customHeight="1" spans="2:2">
      <c r="B92" s="20"/>
    </row>
    <row r="93" ht="15.75" customHeight="1" spans="2:2">
      <c r="B93" s="20"/>
    </row>
    <row r="94" ht="15.75" customHeight="1" spans="2:2">
      <c r="B94" s="20"/>
    </row>
    <row r="95" ht="15.75" customHeight="1" spans="2:2">
      <c r="B95" s="20"/>
    </row>
    <row r="96" ht="15.75" customHeight="1" spans="2:2">
      <c r="B96" s="20"/>
    </row>
    <row r="97" ht="15.75" customHeight="1" spans="2:2">
      <c r="B97" s="20"/>
    </row>
    <row r="98" ht="15.75" customHeight="1" spans="2:2">
      <c r="B98" s="20"/>
    </row>
    <row r="99" ht="15.75" customHeight="1" spans="2:2">
      <c r="B99" s="20"/>
    </row>
    <row r="100" ht="15.75" customHeight="1" spans="2:2">
      <c r="B100" s="20"/>
    </row>
    <row r="101" ht="15.75" customHeight="1" spans="2:2">
      <c r="B101" s="20"/>
    </row>
    <row r="102" ht="15.75" customHeight="1" spans="2:2">
      <c r="B102" s="20"/>
    </row>
    <row r="103" ht="15.75" customHeight="1" spans="2:2">
      <c r="B103" s="20"/>
    </row>
    <row r="104" ht="15.75" customHeight="1" spans="2:2">
      <c r="B104" s="20"/>
    </row>
    <row r="105" ht="15.75" customHeight="1" spans="2:2">
      <c r="B105" s="20"/>
    </row>
    <row r="106" ht="15.75" customHeight="1" spans="2:2">
      <c r="B106" s="20"/>
    </row>
    <row r="107" ht="15.75" customHeight="1" spans="2:2">
      <c r="B107" s="20"/>
    </row>
    <row r="108" ht="15.75" customHeight="1" spans="2:2">
      <c r="B108" s="20"/>
    </row>
    <row r="109" ht="15.75" customHeight="1" spans="2:2">
      <c r="B109" s="20"/>
    </row>
    <row r="110" ht="15.75" customHeight="1" spans="2:2">
      <c r="B110" s="20"/>
    </row>
    <row r="111" ht="15.75" customHeight="1" spans="2:2">
      <c r="B111" s="20"/>
    </row>
    <row r="112" ht="15.75" customHeight="1" spans="2:2">
      <c r="B112" s="20"/>
    </row>
    <row r="113" ht="15.75" customHeight="1" spans="2:2">
      <c r="B113" s="20"/>
    </row>
    <row r="114" ht="15.75" customHeight="1" spans="2:2">
      <c r="B114" s="20"/>
    </row>
    <row r="115" ht="15.75" customHeight="1" spans="2:2">
      <c r="B115" s="20"/>
    </row>
    <row r="116" ht="15.75" customHeight="1" spans="2:2">
      <c r="B116" s="20"/>
    </row>
    <row r="117" ht="15.75" customHeight="1" spans="2:2">
      <c r="B117" s="20"/>
    </row>
    <row r="118" ht="15.75" customHeight="1" spans="2:2">
      <c r="B118" s="20"/>
    </row>
    <row r="119" ht="15.75" customHeight="1" spans="2:2">
      <c r="B119" s="20"/>
    </row>
    <row r="120" ht="15.75" customHeight="1" spans="2:2">
      <c r="B120" s="20"/>
    </row>
    <row r="121" ht="15.75" customHeight="1" spans="2:2">
      <c r="B121" s="20"/>
    </row>
    <row r="122" ht="15.75" customHeight="1" spans="2:2">
      <c r="B122" s="20"/>
    </row>
    <row r="123" ht="15.75" customHeight="1" spans="2:2">
      <c r="B123" s="20"/>
    </row>
    <row r="124" ht="15.75" customHeight="1" spans="2:2">
      <c r="B124" s="20"/>
    </row>
    <row r="125" ht="15.75" customHeight="1" spans="2:2">
      <c r="B125" s="20"/>
    </row>
    <row r="126" ht="15.75" customHeight="1" spans="2:2">
      <c r="B126" s="20"/>
    </row>
    <row r="127" ht="15.75" customHeight="1" spans="2:2">
      <c r="B127" s="20"/>
    </row>
    <row r="128" ht="15.75" customHeight="1" spans="2:2">
      <c r="B128" s="20"/>
    </row>
    <row r="129" ht="15.75" customHeight="1" spans="2:2">
      <c r="B129" s="20"/>
    </row>
    <row r="130" ht="15.75" customHeight="1" spans="2:2">
      <c r="B130" s="20"/>
    </row>
    <row r="131" ht="15.75" customHeight="1" spans="2:2">
      <c r="B131" s="20"/>
    </row>
    <row r="132" ht="15.75" customHeight="1" spans="2:2">
      <c r="B132" s="20"/>
    </row>
    <row r="133" ht="15.75" customHeight="1" spans="2:2">
      <c r="B133" s="20"/>
    </row>
    <row r="134" ht="15.75" customHeight="1" spans="2:2">
      <c r="B134" s="20"/>
    </row>
    <row r="135" ht="15.75" customHeight="1" spans="2:2">
      <c r="B135" s="20"/>
    </row>
    <row r="136" ht="15.75" customHeight="1" spans="2:2">
      <c r="B136" s="20"/>
    </row>
    <row r="137" ht="15.75" customHeight="1" spans="2:2">
      <c r="B137" s="20"/>
    </row>
    <row r="138" ht="15.75" customHeight="1" spans="2:2">
      <c r="B138" s="20"/>
    </row>
    <row r="139" ht="15.75" customHeight="1" spans="2:2">
      <c r="B139" s="20"/>
    </row>
    <row r="140" ht="15.75" customHeight="1" spans="2:2">
      <c r="B140" s="20"/>
    </row>
    <row r="141" ht="15.75" customHeight="1" spans="2:2">
      <c r="B141" s="20"/>
    </row>
    <row r="142" ht="15.75" customHeight="1" spans="2:2">
      <c r="B142" s="20"/>
    </row>
    <row r="143" ht="15.75" customHeight="1" spans="2:2">
      <c r="B143" s="20"/>
    </row>
    <row r="144" ht="15.75" customHeight="1" spans="2:2">
      <c r="B144" s="20"/>
    </row>
    <row r="145" ht="15.75" customHeight="1" spans="2:2">
      <c r="B145" s="20"/>
    </row>
    <row r="146" ht="15.75" customHeight="1" spans="2:2">
      <c r="B146" s="20"/>
    </row>
    <row r="147" ht="15.75" customHeight="1" spans="2:2">
      <c r="B147" s="20"/>
    </row>
    <row r="148" ht="15.75" customHeight="1" spans="2:2">
      <c r="B148" s="20"/>
    </row>
    <row r="149" ht="15.75" customHeight="1" spans="2:2">
      <c r="B149" s="20"/>
    </row>
    <row r="150" ht="15.75" customHeight="1" spans="2:2">
      <c r="B150" s="20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0"/>
  <sheetViews>
    <sheetView workbookViewId="0">
      <pane ySplit="2" topLeftCell="A3" activePane="bottomLeft" state="frozen"/>
      <selection/>
      <selection pane="bottomLeft" activeCell="B4" sqref="B4:C4"/>
    </sheetView>
  </sheetViews>
  <sheetFormatPr defaultColWidth="14.4285714285714" defaultRowHeight="15" customHeight="1" outlineLevelCol="3"/>
  <cols>
    <col min="1" max="2" width="14.4285714285714" customWidth="1"/>
    <col min="3" max="3" width="50" customWidth="1"/>
    <col min="4" max="4" width="88.4285714285714" customWidth="1"/>
    <col min="5" max="6" width="14.4285714285714" customWidth="1"/>
  </cols>
  <sheetData>
    <row r="1" ht="15.75" customHeight="1" spans="1:4">
      <c r="A1" s="1"/>
      <c r="B1" s="1"/>
      <c r="C1" s="2"/>
      <c r="D1" s="2"/>
    </row>
    <row r="2" ht="15.75" customHeight="1" spans="1:4">
      <c r="A2" s="3" t="s">
        <v>146</v>
      </c>
      <c r="B2" s="3" t="s">
        <v>432</v>
      </c>
      <c r="C2" s="4" t="s">
        <v>147</v>
      </c>
      <c r="D2" s="5" t="s">
        <v>148</v>
      </c>
    </row>
    <row r="3" ht="15.75" customHeight="1" spans="1:4">
      <c r="A3" s="6" t="s">
        <v>433</v>
      </c>
      <c r="B3" s="7" t="s">
        <v>434</v>
      </c>
      <c r="C3" s="8"/>
      <c r="D3" s="2"/>
    </row>
    <row r="4" ht="15.75" customHeight="1" spans="1:4">
      <c r="A4" s="9"/>
      <c r="B4" s="7" t="s">
        <v>435</v>
      </c>
      <c r="C4" s="8"/>
      <c r="D4" s="2"/>
    </row>
    <row r="5" ht="15.75" customHeight="1" spans="1:4">
      <c r="A5" s="10"/>
      <c r="B5" s="7" t="s">
        <v>436</v>
      </c>
      <c r="C5" s="8"/>
      <c r="D5" s="2"/>
    </row>
    <row r="6" ht="15.75" customHeight="1" spans="1:4">
      <c r="A6" s="6" t="s">
        <v>437</v>
      </c>
      <c r="B6" s="6" t="s">
        <v>438</v>
      </c>
      <c r="C6" s="11" t="s">
        <v>439</v>
      </c>
      <c r="D6" s="2"/>
    </row>
    <row r="7" ht="15.75" customHeight="1" spans="1:4">
      <c r="A7" s="9"/>
      <c r="B7" s="9"/>
      <c r="C7" s="11" t="s">
        <v>440</v>
      </c>
      <c r="D7" s="2"/>
    </row>
    <row r="8" ht="15.75" customHeight="1" spans="1:4">
      <c r="A8" s="9"/>
      <c r="B8" s="9"/>
      <c r="C8" s="11" t="s">
        <v>441</v>
      </c>
      <c r="D8" s="2"/>
    </row>
    <row r="9" ht="15.75" customHeight="1" spans="1:4">
      <c r="A9" s="9"/>
      <c r="B9" s="9"/>
      <c r="C9" s="11" t="s">
        <v>442</v>
      </c>
      <c r="D9" s="2"/>
    </row>
    <row r="10" ht="15.75" customHeight="1" spans="1:4">
      <c r="A10" s="9"/>
      <c r="B10" s="9"/>
      <c r="C10" s="11" t="s">
        <v>443</v>
      </c>
      <c r="D10" s="2"/>
    </row>
    <row r="11" ht="15.75" customHeight="1" spans="1:4">
      <c r="A11" s="9"/>
      <c r="B11" s="10"/>
      <c r="C11" s="11" t="s">
        <v>444</v>
      </c>
      <c r="D11" s="2"/>
    </row>
    <row r="12" ht="15.75" customHeight="1" spans="1:4">
      <c r="A12" s="9"/>
      <c r="B12" s="6" t="s">
        <v>445</v>
      </c>
      <c r="C12" s="11" t="s">
        <v>446</v>
      </c>
      <c r="D12" s="2"/>
    </row>
    <row r="13" ht="15.75" customHeight="1" spans="1:4">
      <c r="A13" s="9"/>
      <c r="B13" s="9"/>
      <c r="C13" s="11" t="s">
        <v>447</v>
      </c>
      <c r="D13" s="2"/>
    </row>
    <row r="14" ht="15.75" customHeight="1" spans="1:4">
      <c r="A14" s="9"/>
      <c r="B14" s="9"/>
      <c r="C14" s="11" t="s">
        <v>441</v>
      </c>
      <c r="D14" s="2"/>
    </row>
    <row r="15" ht="15.75" customHeight="1" spans="1:4">
      <c r="A15" s="9"/>
      <c r="B15" s="9"/>
      <c r="C15" s="11" t="s">
        <v>442</v>
      </c>
      <c r="D15" s="2"/>
    </row>
    <row r="16" ht="15.75" customHeight="1" spans="1:4">
      <c r="A16" s="9"/>
      <c r="B16" s="9"/>
      <c r="C16" s="11" t="s">
        <v>443</v>
      </c>
      <c r="D16" s="2"/>
    </row>
    <row r="17" ht="15.75" customHeight="1" spans="1:4">
      <c r="A17" s="10"/>
      <c r="B17" s="10"/>
      <c r="C17" s="11" t="s">
        <v>448</v>
      </c>
      <c r="D17" s="2"/>
    </row>
    <row r="18" ht="15.75" customHeight="1" spans="1:4">
      <c r="A18" s="12"/>
      <c r="B18" s="12"/>
      <c r="C18" s="13"/>
      <c r="D18" s="13"/>
    </row>
    <row r="19" ht="15.75" customHeight="1" spans="1:4">
      <c r="A19" s="12"/>
      <c r="B19" s="12"/>
      <c r="C19" s="13"/>
      <c r="D19" s="13"/>
    </row>
    <row r="20" ht="15.75" customHeight="1" spans="1:4">
      <c r="A20" s="12"/>
      <c r="B20" s="12"/>
      <c r="C20" s="13"/>
      <c r="D20" s="13"/>
    </row>
    <row r="21" ht="15.75" customHeight="1" spans="1:4">
      <c r="A21" s="12"/>
      <c r="B21" s="12"/>
      <c r="C21" s="13"/>
      <c r="D21" s="13"/>
    </row>
    <row r="22" ht="15.75" customHeight="1" spans="1:4">
      <c r="A22" s="12"/>
      <c r="B22" s="12"/>
      <c r="C22" s="13"/>
      <c r="D22" s="13"/>
    </row>
    <row r="23" ht="15.75" customHeight="1" spans="1:4">
      <c r="A23" s="12"/>
      <c r="B23" s="12"/>
      <c r="C23" s="13"/>
      <c r="D23" s="13"/>
    </row>
    <row r="24" ht="15.75" customHeight="1" spans="1:4">
      <c r="A24" s="12"/>
      <c r="B24" s="12"/>
      <c r="C24" s="13"/>
      <c r="D24" s="13"/>
    </row>
    <row r="25" ht="15.75" customHeight="1" spans="1:4">
      <c r="A25" s="12"/>
      <c r="B25" s="12"/>
      <c r="C25" s="13"/>
      <c r="D25" s="13"/>
    </row>
    <row r="26" ht="15.75" customHeight="1" spans="1:4">
      <c r="A26" s="12"/>
      <c r="B26" s="12"/>
      <c r="C26" s="13"/>
      <c r="D26" s="13"/>
    </row>
    <row r="27" ht="15.75" customHeight="1" spans="1:4">
      <c r="A27" s="12"/>
      <c r="B27" s="12"/>
      <c r="C27" s="13"/>
      <c r="D27" s="13"/>
    </row>
    <row r="28" ht="15.75" customHeight="1" spans="1:4">
      <c r="A28" s="12"/>
      <c r="B28" s="12"/>
      <c r="C28" s="13"/>
      <c r="D28" s="13"/>
    </row>
    <row r="29" ht="15.75" customHeight="1" spans="1:4">
      <c r="A29" s="12"/>
      <c r="B29" s="12"/>
      <c r="C29" s="13"/>
      <c r="D29" s="13"/>
    </row>
    <row r="30" ht="15.75" customHeight="1" spans="1:4">
      <c r="A30" s="12"/>
      <c r="B30" s="12"/>
      <c r="C30" s="13"/>
      <c r="D30" s="13"/>
    </row>
    <row r="31" ht="15.75" customHeight="1" spans="1:4">
      <c r="A31" s="12"/>
      <c r="B31" s="12"/>
      <c r="C31" s="13"/>
      <c r="D31" s="13"/>
    </row>
    <row r="32" ht="15.75" customHeight="1" spans="1:4">
      <c r="A32" s="12"/>
      <c r="B32" s="12"/>
      <c r="C32" s="13"/>
      <c r="D32" s="13"/>
    </row>
    <row r="33" ht="15.75" customHeight="1" spans="1:4">
      <c r="A33" s="12"/>
      <c r="B33" s="12"/>
      <c r="C33" s="13"/>
      <c r="D33" s="13"/>
    </row>
    <row r="34" ht="15.75" customHeight="1" spans="1:4">
      <c r="A34" s="12"/>
      <c r="B34" s="12"/>
      <c r="C34" s="13"/>
      <c r="D34" s="13"/>
    </row>
    <row r="35" ht="15.75" customHeight="1" spans="1:4">
      <c r="A35" s="12"/>
      <c r="B35" s="12"/>
      <c r="C35" s="13"/>
      <c r="D35" s="13"/>
    </row>
    <row r="36" ht="15.75" customHeight="1" spans="1:4">
      <c r="A36" s="12"/>
      <c r="B36" s="12"/>
      <c r="C36" s="13"/>
      <c r="D36" s="13"/>
    </row>
    <row r="37" ht="15.75" customHeight="1" spans="1:4">
      <c r="A37" s="12"/>
      <c r="B37" s="12"/>
      <c r="C37" s="13"/>
      <c r="D37" s="13"/>
    </row>
    <row r="38" ht="15.75" customHeight="1" spans="1:4">
      <c r="A38" s="12"/>
      <c r="B38" s="12"/>
      <c r="C38" s="13"/>
      <c r="D38" s="13"/>
    </row>
    <row r="39" ht="15.75" customHeight="1" spans="1:4">
      <c r="A39" s="12"/>
      <c r="B39" s="12"/>
      <c r="C39" s="13"/>
      <c r="D39" s="13"/>
    </row>
    <row r="40" ht="15.75" customHeight="1" spans="1:4">
      <c r="A40" s="12"/>
      <c r="B40" s="12"/>
      <c r="C40" s="13"/>
      <c r="D40" s="13"/>
    </row>
    <row r="41" ht="15.75" customHeight="1" spans="1:4">
      <c r="A41" s="12"/>
      <c r="B41" s="12"/>
      <c r="C41" s="13"/>
      <c r="D41" s="13"/>
    </row>
    <row r="42" ht="15.75" customHeight="1" spans="1:4">
      <c r="A42" s="12"/>
      <c r="B42" s="12"/>
      <c r="C42" s="13"/>
      <c r="D42" s="13"/>
    </row>
    <row r="43" ht="15.75" customHeight="1" spans="1:4">
      <c r="A43" s="12"/>
      <c r="B43" s="12"/>
      <c r="C43" s="13"/>
      <c r="D43" s="13"/>
    </row>
    <row r="44" ht="15.75" customHeight="1" spans="1:4">
      <c r="A44" s="12"/>
      <c r="B44" s="12"/>
      <c r="C44" s="13"/>
      <c r="D44" s="13"/>
    </row>
    <row r="45" ht="15.75" customHeight="1" spans="1:4">
      <c r="A45" s="12"/>
      <c r="B45" s="12"/>
      <c r="C45" s="13"/>
      <c r="D45" s="13"/>
    </row>
    <row r="46" ht="15.75" customHeight="1" spans="1:4">
      <c r="A46" s="12"/>
      <c r="B46" s="12"/>
      <c r="C46" s="13"/>
      <c r="D46" s="13"/>
    </row>
    <row r="47" ht="15.75" customHeight="1" spans="1:4">
      <c r="A47" s="12"/>
      <c r="B47" s="12"/>
      <c r="C47" s="13"/>
      <c r="D47" s="13"/>
    </row>
    <row r="48" ht="15.75" customHeight="1" spans="1:4">
      <c r="A48" s="12"/>
      <c r="B48" s="12"/>
      <c r="C48" s="13"/>
      <c r="D48" s="13"/>
    </row>
    <row r="49" ht="15.75" customHeight="1" spans="1:4">
      <c r="A49" s="12"/>
      <c r="B49" s="12"/>
      <c r="C49" s="13"/>
      <c r="D49" s="13"/>
    </row>
    <row r="50" ht="15.75" customHeight="1" spans="1:4">
      <c r="A50" s="12"/>
      <c r="B50" s="12"/>
      <c r="C50" s="13"/>
      <c r="D50" s="13"/>
    </row>
    <row r="51" ht="15.75" customHeight="1" spans="1:4">
      <c r="A51" s="12"/>
      <c r="B51" s="12"/>
      <c r="C51" s="13"/>
      <c r="D51" s="13"/>
    </row>
    <row r="52" ht="15.75" customHeight="1" spans="1:4">
      <c r="A52" s="12"/>
      <c r="B52" s="12"/>
      <c r="C52" s="13"/>
      <c r="D52" s="13"/>
    </row>
    <row r="53" ht="15.75" customHeight="1" spans="1:4">
      <c r="A53" s="12"/>
      <c r="B53" s="12"/>
      <c r="C53" s="13"/>
      <c r="D53" s="13"/>
    </row>
    <row r="54" ht="15.75" customHeight="1" spans="1:4">
      <c r="A54" s="12"/>
      <c r="B54" s="12"/>
      <c r="C54" s="13"/>
      <c r="D54" s="13"/>
    </row>
    <row r="55" ht="15.75" customHeight="1" spans="1:4">
      <c r="A55" s="12"/>
      <c r="B55" s="12"/>
      <c r="C55" s="13"/>
      <c r="D55" s="13"/>
    </row>
    <row r="56" ht="15.75" customHeight="1" spans="1:4">
      <c r="A56" s="12"/>
      <c r="B56" s="12"/>
      <c r="C56" s="13"/>
      <c r="D56" s="13"/>
    </row>
    <row r="57" ht="15.75" customHeight="1" spans="1:4">
      <c r="A57" s="12"/>
      <c r="B57" s="12"/>
      <c r="C57" s="13"/>
      <c r="D57" s="13"/>
    </row>
    <row r="58" ht="15.75" customHeight="1" spans="1:4">
      <c r="A58" s="12"/>
      <c r="B58" s="12"/>
      <c r="C58" s="13"/>
      <c r="D58" s="13"/>
    </row>
    <row r="59" ht="15.75" customHeight="1" spans="1:4">
      <c r="A59" s="12"/>
      <c r="B59" s="12"/>
      <c r="C59" s="13"/>
      <c r="D59" s="13"/>
    </row>
    <row r="60" ht="15.75" customHeight="1" spans="1:4">
      <c r="A60" s="12"/>
      <c r="B60" s="12"/>
      <c r="C60" s="13"/>
      <c r="D60" s="13"/>
    </row>
    <row r="61" ht="15.75" customHeight="1" spans="1:4">
      <c r="A61" s="12"/>
      <c r="B61" s="12"/>
      <c r="C61" s="13"/>
      <c r="D61" s="13"/>
    </row>
    <row r="62" ht="15.75" customHeight="1" spans="1:4">
      <c r="A62" s="12"/>
      <c r="B62" s="12"/>
      <c r="C62" s="13"/>
      <c r="D62" s="13"/>
    </row>
    <row r="63" ht="15.75" customHeight="1" spans="1:4">
      <c r="A63" s="12"/>
      <c r="B63" s="12"/>
      <c r="C63" s="13"/>
      <c r="D63" s="13"/>
    </row>
    <row r="64" ht="15.75" customHeight="1" spans="1:4">
      <c r="A64" s="12"/>
      <c r="B64" s="12"/>
      <c r="C64" s="13"/>
      <c r="D64" s="13"/>
    </row>
    <row r="65" ht="15.75" customHeight="1" spans="1:4">
      <c r="A65" s="12"/>
      <c r="B65" s="12"/>
      <c r="C65" s="13"/>
      <c r="D65" s="13"/>
    </row>
    <row r="66" ht="15.75" customHeight="1" spans="1:4">
      <c r="A66" s="12"/>
      <c r="B66" s="12"/>
      <c r="C66" s="13"/>
      <c r="D66" s="13"/>
    </row>
    <row r="67" ht="15.75" customHeight="1" spans="1:4">
      <c r="A67" s="12"/>
      <c r="B67" s="12"/>
      <c r="C67" s="13"/>
      <c r="D67" s="13"/>
    </row>
    <row r="68" ht="15.75" customHeight="1" spans="1:4">
      <c r="A68" s="12"/>
      <c r="B68" s="12"/>
      <c r="C68" s="13"/>
      <c r="D68" s="13"/>
    </row>
    <row r="69" ht="15.75" customHeight="1" spans="1:4">
      <c r="A69" s="12"/>
      <c r="B69" s="12"/>
      <c r="C69" s="13"/>
      <c r="D69" s="13"/>
    </row>
    <row r="70" ht="15.75" customHeight="1" spans="1:4">
      <c r="A70" s="12"/>
      <c r="B70" s="12"/>
      <c r="C70" s="13"/>
      <c r="D70" s="13"/>
    </row>
    <row r="71" ht="15.75" customHeight="1" spans="1:4">
      <c r="A71" s="12"/>
      <c r="B71" s="12"/>
      <c r="C71" s="13"/>
      <c r="D71" s="13"/>
    </row>
    <row r="72" ht="15.75" customHeight="1" spans="1:4">
      <c r="A72" s="12"/>
      <c r="B72" s="12"/>
      <c r="C72" s="13"/>
      <c r="D72" s="13"/>
    </row>
    <row r="73" ht="15.75" customHeight="1" spans="1:4">
      <c r="A73" s="12"/>
      <c r="B73" s="12"/>
      <c r="C73" s="13"/>
      <c r="D73" s="13"/>
    </row>
    <row r="74" ht="15.75" customHeight="1" spans="1:4">
      <c r="A74" s="12"/>
      <c r="B74" s="12"/>
      <c r="C74" s="13"/>
      <c r="D74" s="13"/>
    </row>
    <row r="75" ht="15.75" customHeight="1" spans="1:4">
      <c r="A75" s="12"/>
      <c r="B75" s="12"/>
      <c r="C75" s="13"/>
      <c r="D75" s="13"/>
    </row>
    <row r="76" ht="15.75" customHeight="1" spans="1:4">
      <c r="A76" s="12"/>
      <c r="B76" s="12"/>
      <c r="C76" s="13"/>
      <c r="D76" s="13"/>
    </row>
    <row r="77" ht="15.75" customHeight="1" spans="1:4">
      <c r="A77" s="12"/>
      <c r="B77" s="12"/>
      <c r="C77" s="13"/>
      <c r="D77" s="13"/>
    </row>
    <row r="78" ht="15.75" customHeight="1" spans="1:4">
      <c r="A78" s="12"/>
      <c r="B78" s="12"/>
      <c r="C78" s="13"/>
      <c r="D78" s="13"/>
    </row>
    <row r="79" ht="15.75" customHeight="1" spans="1:4">
      <c r="A79" s="12"/>
      <c r="B79" s="12"/>
      <c r="C79" s="13"/>
      <c r="D79" s="13"/>
    </row>
    <row r="80" ht="15.75" customHeight="1" spans="1:4">
      <c r="A80" s="12"/>
      <c r="B80" s="12"/>
      <c r="C80" s="13"/>
      <c r="D80" s="13"/>
    </row>
    <row r="81" ht="15.75" customHeight="1" spans="1:4">
      <c r="A81" s="12"/>
      <c r="B81" s="12"/>
      <c r="C81" s="13"/>
      <c r="D81" s="13"/>
    </row>
    <row r="82" ht="15.75" customHeight="1" spans="1:4">
      <c r="A82" s="12"/>
      <c r="B82" s="12"/>
      <c r="C82" s="13"/>
      <c r="D82" s="13"/>
    </row>
    <row r="83" ht="15.75" customHeight="1" spans="1:4">
      <c r="A83" s="12"/>
      <c r="B83" s="12"/>
      <c r="C83" s="13"/>
      <c r="D83" s="13"/>
    </row>
    <row r="84" ht="15.75" customHeight="1" spans="1:4">
      <c r="A84" s="12"/>
      <c r="B84" s="12"/>
      <c r="C84" s="13"/>
      <c r="D84" s="13"/>
    </row>
    <row r="85" ht="15.75" customHeight="1" spans="1:4">
      <c r="A85" s="12"/>
      <c r="B85" s="12"/>
      <c r="C85" s="13"/>
      <c r="D85" s="13"/>
    </row>
    <row r="86" ht="15.75" customHeight="1" spans="1:4">
      <c r="A86" s="12"/>
      <c r="B86" s="12"/>
      <c r="C86" s="13"/>
      <c r="D86" s="13"/>
    </row>
    <row r="87" ht="15.75" customHeight="1" spans="1:4">
      <c r="A87" s="12"/>
      <c r="B87" s="12"/>
      <c r="C87" s="13"/>
      <c r="D87" s="13"/>
    </row>
    <row r="88" ht="15.75" customHeight="1" spans="1:4">
      <c r="A88" s="12"/>
      <c r="B88" s="12"/>
      <c r="C88" s="13"/>
      <c r="D88" s="13"/>
    </row>
    <row r="89" ht="15.75" customHeight="1" spans="1:4">
      <c r="A89" s="12"/>
      <c r="B89" s="12"/>
      <c r="C89" s="13"/>
      <c r="D89" s="13"/>
    </row>
    <row r="90" ht="15.75" customHeight="1" spans="1:4">
      <c r="A90" s="12"/>
      <c r="B90" s="12"/>
      <c r="C90" s="13"/>
      <c r="D90" s="13"/>
    </row>
    <row r="91" ht="15.75" customHeight="1" spans="1:4">
      <c r="A91" s="12"/>
      <c r="B91" s="12"/>
      <c r="C91" s="13"/>
      <c r="D91" s="13"/>
    </row>
    <row r="92" ht="15.75" customHeight="1" spans="1:4">
      <c r="A92" s="12"/>
      <c r="B92" s="12"/>
      <c r="C92" s="13"/>
      <c r="D92" s="13"/>
    </row>
    <row r="93" ht="15.75" customHeight="1" spans="1:4">
      <c r="A93" s="12"/>
      <c r="B93" s="12"/>
      <c r="C93" s="13"/>
      <c r="D93" s="13"/>
    </row>
    <row r="94" ht="15.75" customHeight="1" spans="1:4">
      <c r="A94" s="12"/>
      <c r="B94" s="12"/>
      <c r="C94" s="13"/>
      <c r="D94" s="13"/>
    </row>
    <row r="95" ht="15.75" customHeight="1" spans="1:4">
      <c r="A95" s="12"/>
      <c r="B95" s="12"/>
      <c r="C95" s="13"/>
      <c r="D95" s="13"/>
    </row>
    <row r="96" ht="15.75" customHeight="1" spans="1:4">
      <c r="A96" s="12"/>
      <c r="B96" s="12"/>
      <c r="C96" s="13"/>
      <c r="D96" s="13"/>
    </row>
    <row r="97" ht="15.75" customHeight="1" spans="1:4">
      <c r="A97" s="12"/>
      <c r="B97" s="12"/>
      <c r="C97" s="13"/>
      <c r="D97" s="13"/>
    </row>
    <row r="98" ht="15.75" customHeight="1" spans="1:4">
      <c r="A98" s="12"/>
      <c r="B98" s="12"/>
      <c r="C98" s="13"/>
      <c r="D98" s="13"/>
    </row>
    <row r="99" ht="15.75" customHeight="1" spans="1:4">
      <c r="A99" s="12"/>
      <c r="B99" s="12"/>
      <c r="C99" s="13"/>
      <c r="D99" s="13"/>
    </row>
    <row r="100" ht="15.75" customHeight="1" spans="1:4">
      <c r="A100" s="12"/>
      <c r="B100" s="12"/>
      <c r="C100" s="13"/>
      <c r="D100" s="13"/>
    </row>
    <row r="101" ht="15.75" customHeight="1" spans="1:4">
      <c r="A101" s="12"/>
      <c r="B101" s="12"/>
      <c r="C101" s="13"/>
      <c r="D101" s="13"/>
    </row>
    <row r="102" ht="15.75" customHeight="1" spans="1:4">
      <c r="A102" s="12"/>
      <c r="B102" s="12"/>
      <c r="C102" s="13"/>
      <c r="D102" s="13"/>
    </row>
    <row r="103" ht="15.75" customHeight="1" spans="1:4">
      <c r="A103" s="12"/>
      <c r="B103" s="12"/>
      <c r="C103" s="13"/>
      <c r="D103" s="13"/>
    </row>
    <row r="104" ht="15.75" customHeight="1" spans="1:4">
      <c r="A104" s="12"/>
      <c r="B104" s="12"/>
      <c r="C104" s="13"/>
      <c r="D104" s="13"/>
    </row>
    <row r="105" ht="15.75" customHeight="1" spans="1:4">
      <c r="A105" s="12"/>
      <c r="B105" s="12"/>
      <c r="C105" s="13"/>
      <c r="D105" s="13"/>
    </row>
    <row r="106" ht="15.75" customHeight="1" spans="1:4">
      <c r="A106" s="12"/>
      <c r="B106" s="12"/>
      <c r="C106" s="13"/>
      <c r="D106" s="13"/>
    </row>
    <row r="107" ht="15.75" customHeight="1" spans="1:4">
      <c r="A107" s="12"/>
      <c r="B107" s="12"/>
      <c r="C107" s="13"/>
      <c r="D107" s="13"/>
    </row>
    <row r="108" ht="15.75" customHeight="1" spans="1:4">
      <c r="A108" s="12"/>
      <c r="B108" s="12"/>
      <c r="C108" s="13"/>
      <c r="D108" s="13"/>
    </row>
    <row r="109" ht="15.75" customHeight="1" spans="1:4">
      <c r="A109" s="12"/>
      <c r="B109" s="12"/>
      <c r="C109" s="13"/>
      <c r="D109" s="13"/>
    </row>
    <row r="110" ht="15.75" customHeight="1" spans="1:4">
      <c r="A110" s="12"/>
      <c r="B110" s="12"/>
      <c r="C110" s="13"/>
      <c r="D110" s="13"/>
    </row>
    <row r="111" ht="15.75" customHeight="1" spans="1:4">
      <c r="A111" s="12"/>
      <c r="B111" s="12"/>
      <c r="C111" s="13"/>
      <c r="D111" s="13"/>
    </row>
    <row r="112" ht="15.75" customHeight="1" spans="1:4">
      <c r="A112" s="12"/>
      <c r="B112" s="12"/>
      <c r="C112" s="13"/>
      <c r="D112" s="13"/>
    </row>
    <row r="113" ht="15.75" customHeight="1" spans="1:4">
      <c r="A113" s="12"/>
      <c r="B113" s="12"/>
      <c r="C113" s="13"/>
      <c r="D113" s="13"/>
    </row>
    <row r="114" ht="15.75" customHeight="1" spans="1:4">
      <c r="A114" s="12"/>
      <c r="B114" s="12"/>
      <c r="C114" s="13"/>
      <c r="D114" s="13"/>
    </row>
    <row r="115" ht="15.75" customHeight="1" spans="1:4">
      <c r="A115" s="12"/>
      <c r="B115" s="12"/>
      <c r="C115" s="13"/>
      <c r="D115" s="13"/>
    </row>
    <row r="116" ht="15.75" customHeight="1" spans="1:4">
      <c r="A116" s="12"/>
      <c r="B116" s="12"/>
      <c r="C116" s="13"/>
      <c r="D116" s="13"/>
    </row>
    <row r="117" ht="15.75" customHeight="1" spans="1:4">
      <c r="A117" s="12"/>
      <c r="B117" s="12"/>
      <c r="C117" s="13"/>
      <c r="D117" s="13"/>
    </row>
    <row r="118" ht="15.75" customHeight="1" spans="1:4">
      <c r="A118" s="12"/>
      <c r="B118" s="12"/>
      <c r="C118" s="13"/>
      <c r="D118" s="13"/>
    </row>
    <row r="119" ht="15.75" customHeight="1" spans="1:4">
      <c r="A119" s="12"/>
      <c r="B119" s="12"/>
      <c r="C119" s="13"/>
      <c r="D119" s="13"/>
    </row>
    <row r="120" ht="15.75" customHeight="1" spans="1:4">
      <c r="A120" s="12"/>
      <c r="B120" s="12"/>
      <c r="C120" s="13"/>
      <c r="D120" s="13"/>
    </row>
    <row r="121" ht="15.75" customHeight="1" spans="1:4">
      <c r="A121" s="12"/>
      <c r="B121" s="12"/>
      <c r="C121" s="13"/>
      <c r="D121" s="13"/>
    </row>
    <row r="122" ht="15.75" customHeight="1" spans="1:4">
      <c r="A122" s="12"/>
      <c r="B122" s="12"/>
      <c r="C122" s="13"/>
      <c r="D122" s="13"/>
    </row>
    <row r="123" ht="15.75" customHeight="1" spans="1:4">
      <c r="A123" s="12"/>
      <c r="B123" s="12"/>
      <c r="C123" s="13"/>
      <c r="D123" s="13"/>
    </row>
    <row r="124" ht="15.75" customHeight="1" spans="1:4">
      <c r="A124" s="12"/>
      <c r="B124" s="12"/>
      <c r="C124" s="13"/>
      <c r="D124" s="13"/>
    </row>
    <row r="125" ht="15.75" customHeight="1" spans="1:4">
      <c r="A125" s="12"/>
      <c r="B125" s="12"/>
      <c r="C125" s="13"/>
      <c r="D125" s="13"/>
    </row>
    <row r="126" ht="15.75" customHeight="1" spans="1:4">
      <c r="A126" s="12"/>
      <c r="B126" s="12"/>
      <c r="C126" s="13"/>
      <c r="D126" s="13"/>
    </row>
    <row r="127" ht="15.75" customHeight="1" spans="1:4">
      <c r="A127" s="12"/>
      <c r="B127" s="12"/>
      <c r="C127" s="13"/>
      <c r="D127" s="13"/>
    </row>
    <row r="128" ht="15.75" customHeight="1" spans="1:4">
      <c r="A128" s="12"/>
      <c r="B128" s="12"/>
      <c r="C128" s="13"/>
      <c r="D128" s="13"/>
    </row>
    <row r="129" ht="15.75" customHeight="1" spans="1:4">
      <c r="A129" s="12"/>
      <c r="B129" s="12"/>
      <c r="C129" s="13"/>
      <c r="D129" s="13"/>
    </row>
    <row r="130" ht="15.75" customHeight="1" spans="1:4">
      <c r="A130" s="12"/>
      <c r="B130" s="12"/>
      <c r="C130" s="13"/>
      <c r="D130" s="13"/>
    </row>
    <row r="131" ht="15.75" customHeight="1" spans="1:4">
      <c r="A131" s="12"/>
      <c r="B131" s="12"/>
      <c r="C131" s="13"/>
      <c r="D131" s="13"/>
    </row>
    <row r="132" ht="15.75" customHeight="1" spans="1:4">
      <c r="A132" s="12"/>
      <c r="B132" s="12"/>
      <c r="C132" s="13"/>
      <c r="D132" s="13"/>
    </row>
    <row r="133" ht="15.75" customHeight="1" spans="1:4">
      <c r="A133" s="12"/>
      <c r="B133" s="12"/>
      <c r="C133" s="13"/>
      <c r="D133" s="13"/>
    </row>
    <row r="134" ht="15.75" customHeight="1" spans="1:4">
      <c r="A134" s="12"/>
      <c r="B134" s="12"/>
      <c r="C134" s="13"/>
      <c r="D134" s="13"/>
    </row>
    <row r="135" ht="15.75" customHeight="1" spans="1:4">
      <c r="A135" s="12"/>
      <c r="B135" s="12"/>
      <c r="C135" s="13"/>
      <c r="D135" s="13"/>
    </row>
    <row r="136" ht="15.75" customHeight="1" spans="1:4">
      <c r="A136" s="12"/>
      <c r="B136" s="12"/>
      <c r="C136" s="13"/>
      <c r="D136" s="13"/>
    </row>
    <row r="137" ht="15.75" customHeight="1" spans="1:4">
      <c r="A137" s="12"/>
      <c r="B137" s="12"/>
      <c r="C137" s="13"/>
      <c r="D137" s="13"/>
    </row>
    <row r="138" ht="15.75" customHeight="1" spans="1:4">
      <c r="A138" s="12"/>
      <c r="B138" s="12"/>
      <c r="C138" s="13"/>
      <c r="D138" s="13"/>
    </row>
    <row r="139" ht="15.75" customHeight="1" spans="1:4">
      <c r="A139" s="12"/>
      <c r="B139" s="12"/>
      <c r="C139" s="13"/>
      <c r="D139" s="13"/>
    </row>
    <row r="140" ht="15.75" customHeight="1" spans="1:4">
      <c r="A140" s="12"/>
      <c r="B140" s="12"/>
      <c r="C140" s="13"/>
      <c r="D140" s="13"/>
    </row>
    <row r="141" ht="15.75" customHeight="1" spans="1:4">
      <c r="A141" s="12"/>
      <c r="B141" s="12"/>
      <c r="C141" s="13"/>
      <c r="D141" s="13"/>
    </row>
    <row r="142" ht="15.75" customHeight="1" spans="1:4">
      <c r="A142" s="12"/>
      <c r="B142" s="12"/>
      <c r="C142" s="13"/>
      <c r="D142" s="13"/>
    </row>
    <row r="143" ht="15.75" customHeight="1" spans="1:4">
      <c r="A143" s="12"/>
      <c r="B143" s="12"/>
      <c r="C143" s="13"/>
      <c r="D143" s="13"/>
    </row>
    <row r="144" ht="15.75" customHeight="1" spans="1:4">
      <c r="A144" s="12"/>
      <c r="B144" s="12"/>
      <c r="C144" s="13"/>
      <c r="D144" s="13"/>
    </row>
    <row r="145" ht="15.75" customHeight="1" spans="1:4">
      <c r="A145" s="12"/>
      <c r="B145" s="12"/>
      <c r="C145" s="13"/>
      <c r="D145" s="13"/>
    </row>
    <row r="146" ht="15.75" customHeight="1" spans="1:4">
      <c r="A146" s="12"/>
      <c r="B146" s="12"/>
      <c r="C146" s="13"/>
      <c r="D146" s="13"/>
    </row>
    <row r="147" ht="15.75" customHeight="1" spans="1:4">
      <c r="A147" s="12"/>
      <c r="B147" s="12"/>
      <c r="C147" s="13"/>
      <c r="D147" s="13"/>
    </row>
    <row r="148" ht="15.75" customHeight="1" spans="1:4">
      <c r="A148" s="12"/>
      <c r="B148" s="12"/>
      <c r="C148" s="13"/>
      <c r="D148" s="13"/>
    </row>
    <row r="149" ht="15.75" customHeight="1" spans="1:4">
      <c r="A149" s="12"/>
      <c r="B149" s="12"/>
      <c r="C149" s="13"/>
      <c r="D149" s="13"/>
    </row>
    <row r="150" ht="15.75" customHeight="1" spans="1:4">
      <c r="A150" s="12"/>
      <c r="B150" s="12"/>
      <c r="C150" s="13"/>
      <c r="D150" s="13"/>
    </row>
    <row r="151" ht="15.75" customHeight="1" spans="1:4">
      <c r="A151" s="12"/>
      <c r="B151" s="12"/>
      <c r="C151" s="13"/>
      <c r="D151" s="13"/>
    </row>
    <row r="152" ht="15.75" customHeight="1" spans="1:4">
      <c r="A152" s="12"/>
      <c r="B152" s="12"/>
      <c r="C152" s="13"/>
      <c r="D152" s="13"/>
    </row>
    <row r="153" ht="15.75" customHeight="1" spans="1:4">
      <c r="A153" s="12"/>
      <c r="B153" s="12"/>
      <c r="C153" s="13"/>
      <c r="D153" s="13"/>
    </row>
    <row r="154" ht="15.75" customHeight="1" spans="1:4">
      <c r="A154" s="12"/>
      <c r="B154" s="12"/>
      <c r="C154" s="13"/>
      <c r="D154" s="13"/>
    </row>
    <row r="155" ht="15.75" customHeight="1" spans="1:4">
      <c r="A155" s="12"/>
      <c r="B155" s="12"/>
      <c r="C155" s="13"/>
      <c r="D155" s="13"/>
    </row>
    <row r="156" ht="15.75" customHeight="1" spans="1:4">
      <c r="A156" s="12"/>
      <c r="B156" s="12"/>
      <c r="C156" s="13"/>
      <c r="D156" s="13"/>
    </row>
    <row r="157" ht="15.75" customHeight="1" spans="1:4">
      <c r="A157" s="12"/>
      <c r="B157" s="12"/>
      <c r="C157" s="13"/>
      <c r="D157" s="13"/>
    </row>
    <row r="158" ht="15.75" customHeight="1" spans="1:4">
      <c r="A158" s="12"/>
      <c r="B158" s="12"/>
      <c r="C158" s="13"/>
      <c r="D158" s="13"/>
    </row>
    <row r="159" ht="15.75" customHeight="1" spans="1:4">
      <c r="A159" s="12"/>
      <c r="B159" s="12"/>
      <c r="C159" s="13"/>
      <c r="D159" s="13"/>
    </row>
    <row r="160" ht="15.75" customHeight="1" spans="1:4">
      <c r="A160" s="12"/>
      <c r="B160" s="12"/>
      <c r="C160" s="13"/>
      <c r="D160" s="13"/>
    </row>
    <row r="161" ht="15.75" customHeight="1" spans="1:4">
      <c r="A161" s="12"/>
      <c r="B161" s="12"/>
      <c r="C161" s="13"/>
      <c r="D161" s="13"/>
    </row>
    <row r="162" ht="15.75" customHeight="1" spans="1:4">
      <c r="A162" s="12"/>
      <c r="B162" s="12"/>
      <c r="C162" s="13"/>
      <c r="D162" s="13"/>
    </row>
    <row r="163" ht="15.75" customHeight="1" spans="1:4">
      <c r="A163" s="12"/>
      <c r="B163" s="12"/>
      <c r="C163" s="13"/>
      <c r="D163" s="13"/>
    </row>
    <row r="164" ht="15.75" customHeight="1" spans="1:4">
      <c r="A164" s="12"/>
      <c r="B164" s="12"/>
      <c r="C164" s="13"/>
      <c r="D164" s="13"/>
    </row>
    <row r="165" ht="15.75" customHeight="1" spans="1:4">
      <c r="A165" s="12"/>
      <c r="B165" s="12"/>
      <c r="C165" s="13"/>
      <c r="D165" s="13"/>
    </row>
    <row r="166" ht="15.75" customHeight="1" spans="1:4">
      <c r="A166" s="12"/>
      <c r="B166" s="12"/>
      <c r="C166" s="13"/>
      <c r="D166" s="13"/>
    </row>
    <row r="167" ht="15.75" customHeight="1" spans="1:4">
      <c r="A167" s="12"/>
      <c r="B167" s="12"/>
      <c r="C167" s="13"/>
      <c r="D167" s="13"/>
    </row>
    <row r="168" ht="15.75" customHeight="1" spans="1:4">
      <c r="A168" s="12"/>
      <c r="B168" s="12"/>
      <c r="C168" s="13"/>
      <c r="D168" s="13"/>
    </row>
    <row r="169" ht="15.75" customHeight="1" spans="1:4">
      <c r="A169" s="12"/>
      <c r="B169" s="12"/>
      <c r="C169" s="13"/>
      <c r="D169" s="13"/>
    </row>
    <row r="170" ht="15.75" customHeight="1" spans="1:4">
      <c r="A170" s="12"/>
      <c r="B170" s="12"/>
      <c r="C170" s="13"/>
      <c r="D170" s="13"/>
    </row>
    <row r="171" ht="15.75" customHeight="1" spans="1:4">
      <c r="A171" s="12"/>
      <c r="B171" s="12"/>
      <c r="C171" s="13"/>
      <c r="D171" s="13"/>
    </row>
    <row r="172" ht="15.75" customHeight="1" spans="1:4">
      <c r="A172" s="12"/>
      <c r="B172" s="12"/>
      <c r="C172" s="13"/>
      <c r="D172" s="13"/>
    </row>
    <row r="173" ht="15.75" customHeight="1" spans="1:4">
      <c r="A173" s="12"/>
      <c r="B173" s="12"/>
      <c r="C173" s="13"/>
      <c r="D173" s="13"/>
    </row>
    <row r="174" ht="15.75" customHeight="1" spans="1:4">
      <c r="A174" s="12"/>
      <c r="B174" s="12"/>
      <c r="C174" s="13"/>
      <c r="D174" s="13"/>
    </row>
    <row r="175" ht="15.75" customHeight="1" spans="1:4">
      <c r="A175" s="12"/>
      <c r="B175" s="12"/>
      <c r="C175" s="13"/>
      <c r="D175" s="13"/>
    </row>
    <row r="176" ht="15.75" customHeight="1" spans="1:4">
      <c r="A176" s="12"/>
      <c r="B176" s="12"/>
      <c r="C176" s="13"/>
      <c r="D176" s="13"/>
    </row>
    <row r="177" ht="15.75" customHeight="1" spans="1:4">
      <c r="A177" s="12"/>
      <c r="B177" s="12"/>
      <c r="C177" s="13"/>
      <c r="D177" s="13"/>
    </row>
    <row r="178" ht="15.75" customHeight="1" spans="1:4">
      <c r="A178" s="12"/>
      <c r="B178" s="12"/>
      <c r="C178" s="13"/>
      <c r="D178" s="13"/>
    </row>
    <row r="179" ht="15.75" customHeight="1" spans="1:4">
      <c r="A179" s="12"/>
      <c r="B179" s="12"/>
      <c r="C179" s="13"/>
      <c r="D179" s="13"/>
    </row>
    <row r="180" ht="15.75" customHeight="1" spans="1:4">
      <c r="A180" s="12"/>
      <c r="B180" s="12"/>
      <c r="C180" s="13"/>
      <c r="D180" s="13"/>
    </row>
    <row r="181" ht="15.75" customHeight="1" spans="1:4">
      <c r="A181" s="12"/>
      <c r="B181" s="12"/>
      <c r="C181" s="13"/>
      <c r="D181" s="13"/>
    </row>
    <row r="182" ht="15.75" customHeight="1" spans="1:4">
      <c r="A182" s="12"/>
      <c r="B182" s="12"/>
      <c r="C182" s="13"/>
      <c r="D182" s="13"/>
    </row>
    <row r="183" ht="15.75" customHeight="1" spans="1:4">
      <c r="A183" s="12"/>
      <c r="B183" s="12"/>
      <c r="C183" s="13"/>
      <c r="D183" s="13"/>
    </row>
    <row r="184" ht="15.75" customHeight="1" spans="1:4">
      <c r="A184" s="12"/>
      <c r="B184" s="12"/>
      <c r="C184" s="13"/>
      <c r="D184" s="13"/>
    </row>
    <row r="185" ht="15.75" customHeight="1" spans="1:4">
      <c r="A185" s="12"/>
      <c r="B185" s="12"/>
      <c r="C185" s="13"/>
      <c r="D185" s="13"/>
    </row>
    <row r="186" ht="15.75" customHeight="1" spans="1:4">
      <c r="A186" s="12"/>
      <c r="B186" s="12"/>
      <c r="C186" s="13"/>
      <c r="D186" s="13"/>
    </row>
    <row r="187" ht="15.75" customHeight="1" spans="1:4">
      <c r="A187" s="12"/>
      <c r="B187" s="12"/>
      <c r="C187" s="13"/>
      <c r="D187" s="13"/>
    </row>
    <row r="188" ht="15.75" customHeight="1" spans="1:4">
      <c r="A188" s="12"/>
      <c r="B188" s="12"/>
      <c r="C188" s="13"/>
      <c r="D188" s="13"/>
    </row>
    <row r="189" ht="15.75" customHeight="1" spans="1:4">
      <c r="A189" s="12"/>
      <c r="B189" s="12"/>
      <c r="C189" s="13"/>
      <c r="D189" s="13"/>
    </row>
    <row r="190" ht="15.75" customHeight="1" spans="1:4">
      <c r="A190" s="12"/>
      <c r="B190" s="12"/>
      <c r="C190" s="13"/>
      <c r="D190" s="13"/>
    </row>
    <row r="191" ht="15.75" customHeight="1" spans="1:4">
      <c r="A191" s="12"/>
      <c r="B191" s="12"/>
      <c r="C191" s="13"/>
      <c r="D191" s="13"/>
    </row>
    <row r="192" ht="15.75" customHeight="1" spans="1:4">
      <c r="A192" s="12"/>
      <c r="B192" s="12"/>
      <c r="C192" s="13"/>
      <c r="D192" s="13"/>
    </row>
    <row r="193" ht="15.75" customHeight="1" spans="1:4">
      <c r="A193" s="12"/>
      <c r="B193" s="12"/>
      <c r="C193" s="13"/>
      <c r="D193" s="13"/>
    </row>
    <row r="194" ht="15.75" customHeight="1" spans="1:4">
      <c r="A194" s="12"/>
      <c r="B194" s="12"/>
      <c r="C194" s="13"/>
      <c r="D194" s="13"/>
    </row>
    <row r="195" ht="15.75" customHeight="1" spans="1:4">
      <c r="A195" s="12"/>
      <c r="B195" s="12"/>
      <c r="C195" s="13"/>
      <c r="D195" s="13"/>
    </row>
    <row r="196" ht="15.75" customHeight="1" spans="1:4">
      <c r="A196" s="12"/>
      <c r="B196" s="12"/>
      <c r="C196" s="13"/>
      <c r="D196" s="13"/>
    </row>
    <row r="197" ht="15.75" customHeight="1" spans="1:4">
      <c r="A197" s="12"/>
      <c r="B197" s="12"/>
      <c r="C197" s="13"/>
      <c r="D197" s="13"/>
    </row>
    <row r="198" ht="15.75" customHeight="1" spans="1:4">
      <c r="A198" s="12"/>
      <c r="B198" s="12"/>
      <c r="C198" s="13"/>
      <c r="D198" s="13"/>
    </row>
    <row r="199" ht="15.75" customHeight="1" spans="1:4">
      <c r="A199" s="12"/>
      <c r="B199" s="12"/>
      <c r="C199" s="13"/>
      <c r="D199" s="13"/>
    </row>
    <row r="200" ht="15.75" customHeight="1" spans="1:4">
      <c r="A200" s="12"/>
      <c r="B200" s="12"/>
      <c r="C200" s="13"/>
      <c r="D200" s="13"/>
    </row>
    <row r="201" ht="15.75" customHeight="1" spans="1:4">
      <c r="A201" s="12"/>
      <c r="B201" s="12"/>
      <c r="C201" s="13"/>
      <c r="D201" s="13"/>
    </row>
    <row r="202" ht="15.75" customHeight="1" spans="1:4">
      <c r="A202" s="12"/>
      <c r="B202" s="12"/>
      <c r="C202" s="13"/>
      <c r="D202" s="13"/>
    </row>
    <row r="203" ht="15.75" customHeight="1" spans="1:4">
      <c r="A203" s="12"/>
      <c r="B203" s="12"/>
      <c r="C203" s="13"/>
      <c r="D203" s="13"/>
    </row>
    <row r="204" ht="15.75" customHeight="1" spans="1:4">
      <c r="A204" s="12"/>
      <c r="B204" s="12"/>
      <c r="C204" s="13"/>
      <c r="D204" s="13"/>
    </row>
    <row r="205" ht="15.75" customHeight="1" spans="1:4">
      <c r="A205" s="12"/>
      <c r="B205" s="12"/>
      <c r="C205" s="13"/>
      <c r="D205" s="13"/>
    </row>
    <row r="206" ht="15.75" customHeight="1" spans="1:4">
      <c r="A206" s="12"/>
      <c r="B206" s="12"/>
      <c r="C206" s="13"/>
      <c r="D206" s="13"/>
    </row>
    <row r="207" ht="15.75" customHeight="1" spans="1:4">
      <c r="A207" s="12"/>
      <c r="B207" s="12"/>
      <c r="C207" s="13"/>
      <c r="D207" s="13"/>
    </row>
    <row r="208" ht="15.75" customHeight="1" spans="1:4">
      <c r="A208" s="12"/>
      <c r="B208" s="12"/>
      <c r="C208" s="13"/>
      <c r="D208" s="13"/>
    </row>
    <row r="209" ht="15.75" customHeight="1" spans="1:4">
      <c r="A209" s="12"/>
      <c r="B209" s="12"/>
      <c r="C209" s="13"/>
      <c r="D209" s="13"/>
    </row>
    <row r="210" ht="15.75" customHeight="1" spans="1:4">
      <c r="A210" s="12"/>
      <c r="B210" s="12"/>
      <c r="C210" s="13"/>
      <c r="D210" s="13"/>
    </row>
    <row r="211" ht="15.75" customHeight="1" spans="1:4">
      <c r="A211" s="12"/>
      <c r="B211" s="12"/>
      <c r="C211" s="13"/>
      <c r="D211" s="13"/>
    </row>
    <row r="212" ht="15.75" customHeight="1" spans="1:4">
      <c r="A212" s="12"/>
      <c r="B212" s="12"/>
      <c r="C212" s="13"/>
      <c r="D212" s="13"/>
    </row>
    <row r="213" ht="15.75" customHeight="1" spans="1:4">
      <c r="A213" s="12"/>
      <c r="B213" s="12"/>
      <c r="C213" s="13"/>
      <c r="D213" s="13"/>
    </row>
    <row r="214" ht="15.75" customHeight="1" spans="1:4">
      <c r="A214" s="12"/>
      <c r="B214" s="12"/>
      <c r="C214" s="13"/>
      <c r="D214" s="13"/>
    </row>
    <row r="215" ht="15.75" customHeight="1" spans="1:4">
      <c r="A215" s="12"/>
      <c r="B215" s="12"/>
      <c r="C215" s="13"/>
      <c r="D215" s="13"/>
    </row>
    <row r="216" ht="15.75" customHeight="1" spans="1:4">
      <c r="A216" s="12"/>
      <c r="B216" s="12"/>
      <c r="C216" s="13"/>
      <c r="D216" s="13"/>
    </row>
    <row r="217" ht="15.75" customHeight="1" spans="1:4">
      <c r="A217" s="12"/>
      <c r="B217" s="12"/>
      <c r="C217" s="13"/>
      <c r="D217" s="13"/>
    </row>
    <row r="218" ht="15.75" customHeight="1" spans="1:4">
      <c r="A218" s="12"/>
      <c r="B218" s="12"/>
      <c r="C218" s="13"/>
      <c r="D218" s="13"/>
    </row>
    <row r="219" ht="15.75" customHeight="1" spans="1:4">
      <c r="A219" s="12"/>
      <c r="B219" s="12"/>
      <c r="C219" s="13"/>
      <c r="D219" s="13"/>
    </row>
    <row r="220" ht="15.75" customHeight="1" spans="1:4">
      <c r="A220" s="12"/>
      <c r="B220" s="12"/>
      <c r="C220" s="13"/>
      <c r="D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C3"/>
    <mergeCell ref="B4:C4"/>
    <mergeCell ref="B5:C5"/>
    <mergeCell ref="A3:A5"/>
    <mergeCell ref="A6:A17"/>
    <mergeCell ref="B6:B11"/>
    <mergeCell ref="B12:B17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Template Jadwal PH BID</vt:lpstr>
      <vt:lpstr>Sheet13</vt:lpstr>
      <vt:lpstr>Sheet18</vt:lpstr>
      <vt:lpstr>Sheet19</vt:lpstr>
      <vt:lpstr>Sheet15</vt:lpstr>
      <vt:lpstr>KPI</vt:lpstr>
      <vt:lpstr>PIVOT</vt:lpstr>
      <vt:lpstr>CHART</vt:lpstr>
      <vt:lpstr>Annwijzing TCI</vt:lpstr>
      <vt:lpstr>LinkedIn</vt:lpstr>
      <vt:lpstr>Penelitian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amiin</cp:lastModifiedBy>
  <dcterms:created xsi:type="dcterms:W3CDTF">2021-09-23T15:33:00Z</dcterms:created>
  <dcterms:modified xsi:type="dcterms:W3CDTF">2021-09-23T20:24:00Z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